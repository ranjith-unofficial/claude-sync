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J QOP" sheetId="1" r:id="rId5"/>
    <sheet state="visible" name="May MOP" sheetId="2" r:id="rId6"/>
    <sheet state="visible" name="June MOP" sheetId="3" r:id="rId7"/>
    <sheet state="visible" name="July MOP" sheetId="4" r:id="rId8"/>
    <sheet state="visible" name="July Sprint" sheetId="5" r:id="rId9"/>
    <sheet state="visible" name="Aug MOP" sheetId="6" r:id="rId10"/>
    <sheet state="visible" name="FY27 Plan — Engines × Tracks" sheetId="7" r:id="rId11"/>
    <sheet state="visible" name="Sept MOP" sheetId="8" r:id="rId12"/>
  </sheets>
  <definedNames>
    <definedName hidden="1" localSheetId="1" name="_xlnm._FilterDatabase">'May MOP'!$A$1:$L$30</definedName>
    <definedName hidden="1" localSheetId="2" name="_xlnm._FilterDatabase">'June MOP'!$A$1:$Z$1000</definedName>
  </definedNames>
  <calcPr/>
</workbook>
</file>

<file path=xl/sharedStrings.xml><?xml version="1.0" encoding="utf-8"?>
<sst xmlns="http://schemas.openxmlformats.org/spreadsheetml/2006/main" count="1750" uniqueCount="695">
  <si>
    <t>Bucket</t>
  </si>
  <si>
    <t>Area</t>
  </si>
  <si>
    <t>Sub Bucket</t>
  </si>
  <si>
    <t>Quarterly Goals</t>
  </si>
  <si>
    <t>May</t>
  </si>
  <si>
    <t/>
  </si>
  <si>
    <t>Media</t>
  </si>
  <si>
    <t>Goals</t>
  </si>
  <si>
    <t>Brand</t>
  </si>
  <si>
    <t>Accountability</t>
  </si>
  <si>
    <t>Consulted</t>
  </si>
  <si>
    <t>Deadline</t>
  </si>
  <si>
    <t>Divisions Involved</t>
  </si>
  <si>
    <t>Campaigns</t>
  </si>
  <si>
    <t>Team Members Involved</t>
  </si>
  <si>
    <t>5k Subscriptions + Brand Campaign: AI Shift, The Checkout</t>
  </si>
  <si>
    <t>Completion Status</t>
  </si>
  <si>
    <t>1k Subscriptions + Brand Campaign: AI Shift, The Checkout</t>
  </si>
  <si>
    <t>Progress (%)</t>
  </si>
  <si>
    <t>5k Registration, Datalabs Free Brand Campaign</t>
  </si>
  <si>
    <t>Bottlenecks/Comments</t>
  </si>
  <si>
    <t>1k+ Registrations</t>
  </si>
  <si>
    <t>2k Downloads/Registrations on Reports (Ecom + Upcoming + Existing)</t>
  </si>
  <si>
    <t>1k+ Downloads/Registrations on Ecommerce Report</t>
  </si>
  <si>
    <t>IPs</t>
  </si>
  <si>
    <t>Inc42 Positioning - Update all brand touchpoints with updated positioning</t>
  </si>
  <si>
    <t xml:space="preserve">11 May - 17 May </t>
  </si>
  <si>
    <t>18 May - 24 May</t>
  </si>
  <si>
    <t>25 May - 31 May</t>
  </si>
  <si>
    <t>AI Content + Brand Amplifaction, 50k interactions/month</t>
  </si>
  <si>
    <t>Amplify AI content on social, 25k interactions on social</t>
  </si>
  <si>
    <t>Social</t>
  </si>
  <si>
    <t>600K+ Monthly Interactions
ORM</t>
  </si>
  <si>
    <t>400k Monthly Interactions
Amplify AI content on social, 25k interactions on social
2 New Marketing-Led Formats</t>
  </si>
  <si>
    <t>Video</t>
  </si>
  <si>
    <t>5 Mn+ Video Views &amp; 100k Interactions Per Month
AI Operator: 3-4 Videos/Week, 500k+ Views &amp; 10k+ Interactions
Event-Led Video Pipeline: 4-5 Videos/Week, 1Mn+ Views &amp; 20k+ Interactions
2 Original Short (1-2 min) Formats (Story-Led, News Roundup): 3-4 Videos/Week, 1Mn+ Views &amp; 20k+ Interactions
1 Youtube (10-15 min) Format (2 Videos/Week + 5 Reels/Week): 2Mn+ Views &amp; 40k+ Interactions</t>
  </si>
  <si>
    <t>AI Operator: 3-4 Videos/Week, 500k+ Views &amp; 10k+ Interactions
Event-Led Video Pipeline: 3-4 Videos/Week, 1Mn+ Views &amp; 20k+ Interaction
1 Original Short (1-2 min) Formats (Story-Led or News Roundup): 3-4 Videos/Week, 1Mn+ Views &amp; 20k+ Interactions</t>
  </si>
  <si>
    <t>Marketing</t>
  </si>
  <si>
    <t>Acquisition &amp; Growth</t>
  </si>
  <si>
    <t>WEIU (NS2)
Funnel Optimisation &amp; CRO for Onsite Registration Growth
Onboarding &amp; CLM Systems</t>
  </si>
  <si>
    <t>D2C Summit</t>
  </si>
  <si>
    <t>Establish Reporting for WEIU &amp; complete funnel
Lock &amp; deploy onboarding &amp; CLM for Inc42 &amp; Datalabs
Establish impact of campaigns &amp; CLM on funnel + set goals for June</t>
  </si>
  <si>
    <t>Product</t>
  </si>
  <si>
    <t>Datalabs SEO/AEO Expansion
Global Search v2
Unified Inc42+DL Experience
Report Pages Revamp
Inc42 App</t>
  </si>
  <si>
    <t>Datalabs SEO/AEO Expansion
Report Pages Revamp
Deploy Inc42 App v1
Global Search v2</t>
  </si>
  <si>
    <t>Complete pre-reg campaign · 300 ticket sales</t>
  </si>
  <si>
    <t>800 Ticket Sales (Cumulative)</t>
  </si>
  <si>
    <t>Vishvani</t>
  </si>
  <si>
    <t>Data</t>
  </si>
  <si>
    <t>AI Summit</t>
  </si>
  <si>
    <t>Utkarsh, Pooja</t>
  </si>
  <si>
    <t>95% DCI, DFI, DAI for all Funded Companies
500 Trend Based &amp; High Value Early Stage Startups
Adding 1k New Investors [From the existing DB]
Social Intelligence Data
Semantic Data
Data Warehouse + Unified User Data with Reverse-ETL</t>
  </si>
  <si>
    <t>95% DCI, DFI, DAI for all X Funded Companies
500 Trend Based &amp; High Value Early Stage Startups
Adding 1k New Investors [From the existing DB]
Social Intelligence Data v1
Data Warehouse + Unified User Data with Reverse-ETL Phase 1</t>
  </si>
  <si>
    <t>1000+ ticket sales · 60%+ selection rate · 600 attendees</t>
  </si>
  <si>
    <t>Infra &amp; Systems</t>
  </si>
  <si>
    <t>Marketing, Editorial</t>
  </si>
  <si>
    <t>Utkarsh</t>
  </si>
  <si>
    <t>Nityam, Bhavika</t>
  </si>
  <si>
    <t>Reporting Dashboards, Automated Reporting + Insights for Media, DL, EFL &amp; IPs
Streamline Asana 
SOP Updates
Automate Newsletters
AI-Led Systems for IP Marketing
AI-Led + HIL Customer Support via Freshdesk/Hubspot
Analytics &amp; Instrumentation Audit
Internal AI Tools &amp; Systems: News AI 2.0, Markets AI 2.0, AI Data Requests, AI Research on Inc42 Data</t>
  </si>
  <si>
    <t>Reporting Dashboards, Automated Reporting + Insights for Media, DL, EFL &amp; IPs
Streamline Asana
Analytics &amp; Instrumentation Audit
Internal AI Tools &amp; Systems: News AI 2.0, Markets AI 2.0, AI Data Requests, AI Research on Inc42 Data</t>
  </si>
  <si>
    <t>Marketing, Editorial, Sales</t>
  </si>
  <si>
    <t>Vishvani, Bhavika, Amit</t>
  </si>
  <si>
    <t>In Progress</t>
  </si>
  <si>
    <t>On Track</t>
  </si>
  <si>
    <t>Completed</t>
  </si>
  <si>
    <t>BrandLabs Marketing</t>
  </si>
  <si>
    <t>Brandlabs Campaigns Delivery</t>
  </si>
  <si>
    <t>On Time Delivery, Campaign Metrics, Organic vs Inorganic Split, Budget Saved</t>
  </si>
  <si>
    <t>Client Pipeline Influenced</t>
  </si>
  <si>
    <t>MQLs (New, Returning)
Inbound Marketing System</t>
  </si>
  <si>
    <t>BL Rebranding + Website
BL Newsletter 
NPS Tracking</t>
  </si>
  <si>
    <t>1000+ ticket sales. 60%+ selection rate. 600 attendees.</t>
  </si>
  <si>
    <t>200 ticket sales</t>
  </si>
  <si>
    <t>250 ticket sales</t>
  </si>
  <si>
    <t>AmplifAI</t>
  </si>
  <si>
    <t>125 ticket sales</t>
  </si>
  <si>
    <t>150+ applications. 5 startups selected. Demo day at AI Summit.</t>
  </si>
  <si>
    <t>D2CX Runway</t>
  </si>
  <si>
    <t>Who Gets In Campaign</t>
  </si>
  <si>
    <t>100+ applications, 15 shortlisted for Pitches
2nd Edition</t>
  </si>
  <si>
    <t>100+ applications · 15 shortlisted for Pitches · 2nd Edition kickoff</t>
  </si>
  <si>
    <t>Nityam</t>
  </si>
  <si>
    <t>150+ applications · 5 startups selected · Demo day at AI Summit</t>
  </si>
  <si>
    <t>Saumya</t>
  </si>
  <si>
    <t>D2CX Converge</t>
  </si>
  <si>
    <t>Marketing, BL</t>
  </si>
  <si>
    <t>Editions TBD</t>
  </si>
  <si>
    <t>Saumya, Bhavika</t>
  </si>
  <si>
    <t>150 ticket sales, 50% selection rate</t>
  </si>
  <si>
    <t>Complete pre-reg campaign, launch Phase 1 marketing &amp; achieve 75 ticket sales</t>
  </si>
  <si>
    <t>D2C Retreat</t>
  </si>
  <si>
    <t>Launch D2C Retreat 2026</t>
  </si>
  <si>
    <t>-</t>
  </si>
  <si>
    <t>AI Workplaces</t>
  </si>
  <si>
    <t>Lock Concept &amp; Prep for Launch</t>
  </si>
  <si>
    <t>700 Applications</t>
  </si>
  <si>
    <t>Launch Season 2 Marketing</t>
  </si>
  <si>
    <t>Arminder</t>
  </si>
  <si>
    <t>Complete pre-reg campaign · 150 ticket sales</t>
  </si>
  <si>
    <t>Nityam, Animesh</t>
  </si>
  <si>
    <t>58 tickets sold as of 31st may</t>
  </si>
  <si>
    <t>Launch pre-reg campaign
50 Ticket Sales</t>
  </si>
  <si>
    <t>50 Ticket Sales
Prep for Phase 1 Marketing</t>
  </si>
  <si>
    <t>D2CX Retreat</t>
  </si>
  <si>
    <t>50 Ticket Sales
Phase 1 Marketing Ready To Launch</t>
  </si>
  <si>
    <t>Prep for Launch</t>
  </si>
  <si>
    <t>50 Applications</t>
  </si>
  <si>
    <t>Delayed</t>
  </si>
  <si>
    <t>completed</t>
  </si>
  <si>
    <t>IP Infra</t>
  </si>
  <si>
    <t>TBD</t>
  </si>
  <si>
    <t>AI-Led Systems for IP Marketing</t>
  </si>
  <si>
    <t>FAST42</t>
  </si>
  <si>
    <t>Marketing Launch</t>
  </si>
  <si>
    <t>Yet To Start</t>
  </si>
  <si>
    <t>Vishvani, Bhavika</t>
  </si>
  <si>
    <t>Prep For Launch</t>
  </si>
  <si>
    <t>Nityam, Bhavika, Animesh</t>
  </si>
  <si>
    <t>Inc42 Social Growth</t>
  </si>
  <si>
    <t>400K monthly interactions · 2 new marketing-led formats</t>
  </si>
  <si>
    <t>200K monthly interactions · 2 new marketing-led formats</t>
  </si>
  <si>
    <t>Marketing, Design</t>
  </si>
  <si>
    <t>Arminder, Tanya, Ananya</t>
  </si>
  <si>
    <t>400K monthly interactions numbers achieved with 330.5K quality engagements, Finalised new carousel format, Marketing Format: Picking up various Industries from datalabs, working on report recurring task, New superhero templates for Check out newsletter</t>
  </si>
  <si>
    <t>194K numbers achieved, Finaised 3 new carousel formats (design wise)</t>
  </si>
  <si>
    <t>Social media reporting locked &amp; automated
2 new carousal templates
1 new marketing-led format</t>
  </si>
  <si>
    <t>3 New Superhero Templates/Formats</t>
  </si>
  <si>
    <t>1 new marketing-led format</t>
  </si>
  <si>
    <t>AI Content Amplification</t>
  </si>
  <si>
    <t>AI content on social (25K interactions on social)</t>
  </si>
  <si>
    <t>Brand v2 Rollout</t>
  </si>
  <si>
    <t>Amplify AI content on social (25K interactions on social)</t>
  </si>
  <si>
    <t>Rollout Messaging v2 Across All Touchpoints</t>
  </si>
  <si>
    <t>Newsletters</t>
  </si>
  <si>
    <t>AI Shift, The Checkout, Daily Brief</t>
  </si>
  <si>
    <t>2.5K subscriptions · Brand Campaign</t>
  </si>
  <si>
    <t>Reporting Locked
AI Summit Superheroes</t>
  </si>
  <si>
    <t>AI Summit Superheroes Ongoing</t>
  </si>
  <si>
    <t>1K subscriptions · Brand Campaign</t>
  </si>
  <si>
    <t>220K monthly interactions · LI first formats</t>
  </si>
  <si>
    <t>Depriotised</t>
  </si>
  <si>
    <t>Acquisition</t>
  </si>
  <si>
    <t>Acquisition + WEIU (NS2)</t>
  </si>
  <si>
    <t>Establish reporting for WEIU &amp; complete funnel · Lock &amp; deploy onboarding &amp; CLM for Inc42 &amp; Datalabs · Establish impact of campaigns &amp; CLM on funnel + set goals for June</t>
  </si>
  <si>
    <t>Plan made, execution yet to start</t>
  </si>
  <si>
    <t>Utkarsh, Tech</t>
  </si>
  <si>
    <t>Reporting Locked
Marketing Plan Locked</t>
  </si>
  <si>
    <t>AI Shift + Checkout Marketing Campaign Launch</t>
  </si>
  <si>
    <t>Marketing, Tech</t>
  </si>
  <si>
    <t>1K+ Subscriptions</t>
  </si>
  <si>
    <t>Nityam, Animesh, Prapti</t>
  </si>
  <si>
    <t>Rollout Onsite Acquisition v2
Deploy CLM/onboarding for all touchpoints
Establish reporting for WEIU &amp; complete funnel</t>
  </si>
  <si>
    <t>Pending on Design front</t>
  </si>
  <si>
    <t>Datalabs</t>
  </si>
  <si>
    <t>Datalabs Free Launch — Activation</t>
  </si>
  <si>
    <t>planning and reporting done, yet to deploy</t>
  </si>
  <si>
    <t>2.5K+ registrations · Activation campaigns</t>
  </si>
  <si>
    <t>Marketing, Datalabs</t>
  </si>
  <si>
    <t>Bhavika, Animesh, Prapti</t>
  </si>
  <si>
    <t>Customer.io Hygiene/Setup + Properties + Tag/Segment Taxonomy Locked
WEIU Reporting Locked
Onsite Optins Optimisation Plan</t>
  </si>
  <si>
    <t>Onsite Optins Optimisation Deployed
L2 7-day onboarding sequence launched</t>
  </si>
  <si>
    <t>L3 source-aware sequences launched</t>
  </si>
  <si>
    <t>Event-Led Pipeline</t>
  </si>
  <si>
    <t>3-4 videos/week · 1Mn+ views &amp; 20K+ interactions</t>
  </si>
  <si>
    <t>3 videos/week · 500k+ views &amp; 10K+ interactions</t>
  </si>
  <si>
    <t>Aditya</t>
  </si>
  <si>
    <t>1K+ registrations · Activation campaigns</t>
  </si>
  <si>
    <t>Video, Marketing</t>
  </si>
  <si>
    <t>Tejas, Aditya, Video Team</t>
  </si>
  <si>
    <t>Bhavika, Prapti</t>
  </si>
  <si>
    <t>yet to start</t>
  </si>
  <si>
    <t>Context + Reporting + Master Messaging Doc</t>
  </si>
  <si>
    <t>Original Short Format</t>
  </si>
  <si>
    <t>Marketing Plan + Common Messaging Doc + Assets</t>
  </si>
  <si>
    <t>1K+ Registrations</t>
  </si>
  <si>
    <t>1 Original Short (1-2 min) format – Story-Led or News Roundup</t>
  </si>
  <si>
    <t>3 IPs - D2C, Deeptech, News + Trend Based</t>
  </si>
  <si>
    <t>AI Operator</t>
  </si>
  <si>
    <t>3-4 videos/week · 500K+ views &amp; 10K+ interactions</t>
  </si>
  <si>
    <t>Tejas</t>
  </si>
  <si>
    <t>v2 Concept Note on Video Types &amp; Scripts</t>
  </si>
  <si>
    <t>4 Videos Published</t>
  </si>
  <si>
    <t>Reports</t>
  </si>
  <si>
    <t>Ecommerce Report</t>
  </si>
  <si>
    <t>1K+ downloads/registrations on Reports</t>
  </si>
  <si>
    <t>H1 Funding Report</t>
  </si>
  <si>
    <t>2K+ downloads/registrations on Reports</t>
  </si>
  <si>
    <t>Research, Marketing</t>
  </si>
  <si>
    <t>Sandeep, Arminder, Animesh</t>
  </si>
  <si>
    <t>Video Reporting Locked &amp; Automated</t>
  </si>
  <si>
    <t>735 downloads</t>
  </si>
  <si>
    <t>AI Summit Shoot Plan Locked (Series + Distribution-First Approach)</t>
  </si>
  <si>
    <t>Datalabs SEO/AEO Expansion</t>
  </si>
  <si>
    <t>Datalabs Campaign</t>
  </si>
  <si>
    <t>Audit &amp; Improve SEO/AEO for Datalabs</t>
  </si>
  <si>
    <t>Source Kya Hai Campaign Launch</t>
  </si>
  <si>
    <t>Ashish, Prapti</t>
  </si>
  <si>
    <t>Tejas, Aditya</t>
  </si>
  <si>
    <t>Tech, Marketing</t>
  </si>
  <si>
    <t>Tech, Data</t>
  </si>
  <si>
    <t>Bhavika</t>
  </si>
  <si>
    <t>Report Pages Revamp + Global Search v2</t>
  </si>
  <si>
    <t>Report Pages Revamp (new template live)</t>
  </si>
  <si>
    <t>Alistin, Ashish</t>
  </si>
  <si>
    <t>Datalabs Activation &amp; Retention</t>
  </si>
  <si>
    <t>Lifecycle Flows
Bi-Weekly Digests
Reactivation Campaign (1 Sequence + 2 EDMs)
Watchlist + Alerts (TBD)</t>
  </si>
  <si>
    <t>Phase 1 SEO &amp; AEO changes: Meta Tags Fixes, SSR -&gt; CSR, Schema markups, Rel-Canonical changes</t>
  </si>
  <si>
    <t>Data, Tech</t>
  </si>
  <si>
    <t>Inc42 App v1</t>
  </si>
  <si>
    <t>Deploy Inc42 App v1</t>
  </si>
  <si>
    <t>Tech</t>
  </si>
  <si>
    <t>Phase 1 + Phase 2 Review + Fixes</t>
  </si>
  <si>
    <t>Phase 3 Plan + Kickoff</t>
  </si>
  <si>
    <t>Audit &amp; Improve SEO/AEO for Datalabs
- SEO &amp; AEO Phase 3
- Listicles Revamp &amp; Crack Programmatic SEO/AEO via Listicles</t>
  </si>
  <si>
    <t>DCI / DFI / DAI Quality</t>
  </si>
  <si>
    <t>95% DCI/DFI/DAI for funded companies</t>
  </si>
  <si>
    <t>Report Pages Revamp (new template live) · Global Search v2 Launched</t>
  </si>
  <si>
    <t>Prapti</t>
  </si>
  <si>
    <t>Tech, Prapti, Data Team</t>
  </si>
  <si>
    <t>Completed this month's target</t>
  </si>
  <si>
    <t>Global Search is live, We are working on report page, which will be completed by 2nd June</t>
  </si>
  <si>
    <t>Trend-Based Early-Stage Startups</t>
  </si>
  <si>
    <t>500 trend-based &amp; high-value early-stage startups added</t>
  </si>
  <si>
    <t xml:space="preserve">Ask Datalabs </t>
  </si>
  <si>
    <t>Latency &lt;10 sec
Tracking &amp; Feedback Loop</t>
  </si>
  <si>
    <t>Investor Database Expansion</t>
  </si>
  <si>
    <t>App</t>
  </si>
  <si>
    <t>1K new investors from existing DB</t>
  </si>
  <si>
    <t>Design is still ongoing, dev isn't started yet.</t>
  </si>
  <si>
    <t>Inc42 App v1 GTM</t>
  </si>
  <si>
    <t>5k+ Activated Users
Ask Inc42
Social Intelligence Feed</t>
  </si>
  <si>
    <t>Lock concept note, PRD, scoping, feasibility &amp; mapping</t>
  </si>
  <si>
    <t>Ranjith, Ashish</t>
  </si>
  <si>
    <t>Alpha Version Scoping Locked + Build Starts</t>
  </si>
  <si>
    <t>Alpha Version Ready, Testing, Prep for Launch</t>
  </si>
  <si>
    <t>Tech, Marketing, Data</t>
  </si>
  <si>
    <t>Social Intelligence Data v1</t>
  </si>
  <si>
    <t>Social Intelligence Data v1 — pipeline live</t>
  </si>
  <si>
    <t>Social Intelligence Data</t>
  </si>
  <si>
    <t>Internal AI Use cases 
1. Editorial &amp; Social Content Suggestions 
2. Make Social Intelligence Data Queryable</t>
  </si>
  <si>
    <t>Data Team, Tech</t>
  </si>
  <si>
    <t>Data Warehouse</t>
  </si>
  <si>
    <t>Data Warehouse + Unified User Data with Reverse-ETL — Phase 2</t>
  </si>
  <si>
    <t>Infra</t>
  </si>
  <si>
    <t>Reporting Dashboards + Automated Reporting</t>
  </si>
  <si>
    <t>Reporting Dashboards · Automated Reporting + Insights for Social, Video, Media, DL, EFL &amp; IPs</t>
  </si>
  <si>
    <t>Utkarsh, Tech, Nityam</t>
  </si>
  <si>
    <t>AI</t>
  </si>
  <si>
    <t>Marketing, Tech, Data</t>
  </si>
  <si>
    <t>Internal AI – Editorial &amp; Social Content Suggestions</t>
  </si>
  <si>
    <t>Social Intelligence Data v1 — pipeline ingestion live</t>
  </si>
  <si>
    <t>Internal AI Tools — AI Data Requests + AI Research</t>
  </si>
  <si>
    <t>AI Data Requests pilot + AI Research on Inc42 Data pilot</t>
  </si>
  <si>
    <t>Tech, Data, Editorial</t>
  </si>
  <si>
    <t>Have checked Linkedin Sales Nav from feasibility pov, now need to create pipelines</t>
  </si>
  <si>
    <t>Scoping Locked</t>
  </si>
  <si>
    <t>Analytics &amp; Instrumentation Audit</t>
  </si>
  <si>
    <t>Data Warehouse + Unified User Data with Reverse-ETL — Phase 1</t>
  </si>
  <si>
    <t>GA4 + PostHog + Customer.io audit &amp; fixes</t>
  </si>
  <si>
    <t>Animesh</t>
  </si>
  <si>
    <t>Inc42 Sprint July 2026</t>
  </si>
  <si>
    <t>Automate All Weekly Newsletters</t>
  </si>
  <si>
    <t>Need to pick reverse ETL</t>
  </si>
  <si>
    <t>Tech, Editorial</t>
  </si>
  <si>
    <t>Markets Newsletter is Automated</t>
  </si>
  <si>
    <t>Data, Marketing, Tech</t>
  </si>
  <si>
    <t>Sub-Bucket</t>
  </si>
  <si>
    <t>Goal</t>
  </si>
  <si>
    <t>People Involved</t>
  </si>
  <si>
    <t>Founders Involved</t>
  </si>
  <si>
    <t>Owner</t>
  </si>
  <si>
    <t>Progress Status</t>
  </si>
  <si>
    <t>Subjective Summary</t>
  </si>
  <si>
    <t>Links</t>
  </si>
  <si>
    <t>Alistin</t>
  </si>
  <si>
    <t>Bottleneck</t>
  </si>
  <si>
    <t>Completion %</t>
  </si>
  <si>
    <t>Videos</t>
  </si>
  <si>
    <t>Video Series</t>
  </si>
  <si>
    <t>Deeptech [Insta First]</t>
  </si>
  <si>
    <t>Aditya 
Video Team
Editorial</t>
  </si>
  <si>
    <t>Utkarsh
Pooja</t>
  </si>
  <si>
    <t>Internal AI Tools — News AI 2.0 + Markets AI 2.0</t>
  </si>
  <si>
    <t>News AI 2.0, Markets AI 2.0 → production (in editorial newsroom)</t>
  </si>
  <si>
    <t>Ashish</t>
  </si>
  <si>
    <t>50% Or Less</t>
  </si>
  <si>
    <t>Deploy to Editors + Feedback loop + Improvements</t>
  </si>
  <si>
    <t>Deploy to Editorial Team</t>
  </si>
  <si>
    <t>Feedback loop + Improvements</t>
  </si>
  <si>
    <t>D2C [Insta First]</t>
  </si>
  <si>
    <t>Nityam
Vishwani
Aditya 
+ Video Team</t>
  </si>
  <si>
    <t>Trends [YouTube First]</t>
  </si>
  <si>
    <t>Bismah
Aditya 
+ Video Team</t>
  </si>
  <si>
    <t>25% Or Less</t>
  </si>
  <si>
    <t>DRS 2026</t>
  </si>
  <si>
    <t>Close 30 Speakers Overall</t>
  </si>
  <si>
    <t>Palak Agarwal
Anshika</t>
  </si>
  <si>
    <t xml:space="preserve">
Pooja</t>
  </si>
  <si>
    <t>Palak</t>
  </si>
  <si>
    <t>Paid Confirmed Attendees - 200</t>
  </si>
  <si>
    <t>Nityam
Vishwani
Bhavika
Sakshi</t>
  </si>
  <si>
    <t>Vishwani</t>
  </si>
  <si>
    <t>75% Or Less</t>
  </si>
  <si>
    <t>50 Free Attendees</t>
  </si>
  <si>
    <t>Sakshi</t>
  </si>
  <si>
    <t>Yet to start</t>
  </si>
  <si>
    <t>DRS Who Get's In Campaign Launch + Influencer Amplification</t>
  </si>
  <si>
    <t>Vishwani
Nityam</t>
  </si>
  <si>
    <t>Website &amp; Marketing Launch</t>
  </si>
  <si>
    <t>Confirm 10 Attendees</t>
  </si>
  <si>
    <t>Yash
Nitika</t>
  </si>
  <si>
    <t>Pooja
Vaibhav</t>
  </si>
  <si>
    <t>Yash</t>
  </si>
  <si>
    <t>Editorial</t>
  </si>
  <si>
    <t>Series Launch</t>
  </si>
  <si>
    <t>Business Model Breakdown Series Launch</t>
  </si>
  <si>
    <t>Meha
Palak Sharma</t>
  </si>
  <si>
    <t>Pooja</t>
  </si>
  <si>
    <t>Meha</t>
  </si>
  <si>
    <t>Exclusives</t>
  </si>
  <si>
    <t>10 Exclusives</t>
  </si>
  <si>
    <t>Vinay</t>
  </si>
  <si>
    <t>Report Design</t>
  </si>
  <si>
    <t>Automate Report Design With Claude</t>
  </si>
  <si>
    <t>Sandeep</t>
  </si>
  <si>
    <t>Pooja
Utkarsh</t>
  </si>
  <si>
    <t>Courses</t>
  </si>
  <si>
    <t>RetailX</t>
  </si>
  <si>
    <t>Lock Curriculum &amp; Concept Note</t>
  </si>
  <si>
    <t>Shantanu</t>
  </si>
  <si>
    <t>Almost 100%</t>
  </si>
  <si>
    <t>Lock 3 Speakers + 10 Brand Names</t>
  </si>
  <si>
    <t>Shantanu
Palak Agarwal
Anshika</t>
  </si>
  <si>
    <t>Brand Identity + Website Brief Lock</t>
  </si>
  <si>
    <t>Internal AI Tools</t>
  </si>
  <si>
    <t>News AI &amp; Markets AI Final Adoption</t>
  </si>
  <si>
    <t>Nikhil</t>
  </si>
  <si>
    <t>Social &amp; Editorial Ideas Pipeline Agent Launch &amp; Adoption</t>
  </si>
  <si>
    <t>Nikhil
Shishir
Vinay
Akshit
Meha
Prapti
Tanuj
Sandeep</t>
  </si>
  <si>
    <t>Editorial Stories Feedback Agent Launch &amp; Adoption</t>
  </si>
  <si>
    <t>Brand Refresh</t>
  </si>
  <si>
    <t>Inc42 Brand v2 Rollout Across All Touchpoints</t>
  </si>
  <si>
    <t>Nityam
Animesh</t>
  </si>
  <si>
    <t>Product &amp; Marketing</t>
  </si>
  <si>
    <t>Inc42 App (Ready To Go Live)</t>
  </si>
  <si>
    <t>Product &amp; Tech</t>
  </si>
  <si>
    <t>Ranjith</t>
  </si>
  <si>
    <t>BrandLabs</t>
  </si>
  <si>
    <t>Accounts Delivery Tracker</t>
  </si>
  <si>
    <t>Vaibhav</t>
  </si>
  <si>
    <t>Comments/Bottlenecks</t>
  </si>
  <si>
    <t>Sanjo</t>
  </si>
  <si>
    <t>Internal Automated System</t>
  </si>
  <si>
    <t>Asset Marketing Reports</t>
  </si>
  <si>
    <t>Dashboards</t>
  </si>
  <si>
    <t>Consumption Dashboards</t>
  </si>
  <si>
    <t>HR</t>
  </si>
  <si>
    <t>Hiring</t>
  </si>
  <si>
    <t>D2CX Sales</t>
  </si>
  <si>
    <t>HR
Shantanu</t>
  </si>
  <si>
    <t>Shweta</t>
  </si>
  <si>
    <t>Sr. Visual Designer</t>
  </si>
  <si>
    <t>900 Ticket Sales (Cumulative)</t>
  </si>
  <si>
    <t>Marketing, Social</t>
  </si>
  <si>
    <t>Marketing, BL, Social</t>
  </si>
  <si>
    <t>30 Qualified Applications</t>
  </si>
  <si>
    <t>CTO Summit</t>
  </si>
  <si>
    <t>Marketing Launch &amp; 75 Ticket Sales</t>
  </si>
  <si>
    <t>242K Monthly Interactions · 4 Recurring Series · ORM Tool + 90% Response Rates</t>
  </si>
  <si>
    <t>Arminder, Tanya, Shivanshi</t>
  </si>
  <si>
    <t>Rollout Onsite Acquisition v2
Establish reporting for WEIU &amp; complete funnel</t>
  </si>
  <si>
    <t>Nityam, Prapti</t>
  </si>
  <si>
    <t>3 videos/week · 500k+ views &amp; 5K+ interactions</t>
  </si>
  <si>
    <t>Video Team</t>
  </si>
  <si>
    <t>2 videos/week D2C Series
1 video/week YT Series (10 min+) 
200k+ views &amp; 2K+ interactions</t>
  </si>
  <si>
    <t>Report</t>
  </si>
  <si>
    <t>Lifecycle Flows
Bi-Weekly Digests
Reactivation Campaign (1 Sequence + 2 EDMs)</t>
  </si>
  <si>
    <t>Utkarsh, Ashish</t>
  </si>
  <si>
    <t>Payment &amp; Dunning Systems</t>
  </si>
  <si>
    <t>Dunning, Payment Retry, Payment URLs for Recovery &amp; Abandons</t>
  </si>
  <si>
    <t>Latency &lt;10 sec
Streaming, Fast Mode
Tracking, Analytics &amp; Feedback Loop</t>
  </si>
  <si>
    <t>1k+ Activated Users
Ask Inc42
Social Intelligence Brief
50+ User Interviews &amp; Feedbacks</t>
  </si>
  <si>
    <t>Make Social Intelligence Data Queryable via Slack Company-Wide</t>
  </si>
  <si>
    <t>Data Warehouse + Unified User Data + Event Analytics with Reverse-ETL Deployed</t>
  </si>
  <si>
    <t>Server &amp; Cost Optimisation</t>
  </si>
  <si>
    <t>Migrate &amp; consolidate all servers/systems to Azure and optimise cost by 30%</t>
  </si>
  <si>
    <t>Analytics &amp; Instrumentation Fixes</t>
  </si>
  <si>
    <t>Bhavika, Animesh</t>
  </si>
  <si>
    <t>Utkarsh, Tech, Data</t>
  </si>
  <si>
    <t>FY27 Plan — Engines × Tracks</t>
  </si>
  <si>
    <t>One horizon plan · LOCKED 2026-08-21 (Utkarsh): O2 Audience runs on the strategy's engine verbs — Acquire &amp; Identify → Activate &amp; Deepen → Retain &amp; Renew — journey stages of one person across all surfaces; per-product work lives in the MOP, serving a stage. Lanes match the Sept MOP.</t>
  </si>
  <si>
    <t>Track</t>
  </si>
  <si>
    <t>SEPT MOP — RATIFIED &amp; LOCKED 2026-08-21 (Utkarsh). Lanes = the FY27 Plan lanes; every row's Serves resolves to a track there (serves-check runs Mondays 09:40). Griffin out of scope here — tracked on the Griffin desk.</t>
  </si>
  <si>
    <t>What it means in plain terms</t>
  </si>
  <si>
    <t>Waits on</t>
  </si>
  <si>
    <t>Aug</t>
  </si>
  <si>
    <t>Sep</t>
  </si>
  <si>
    <t>Oct</t>
  </si>
  <si>
    <t>Nov</t>
  </si>
  <si>
    <t>Dec</t>
  </si>
  <si>
    <t>Jan</t>
  </si>
  <si>
    <t>Feb</t>
  </si>
  <si>
    <t>Mar</t>
  </si>
  <si>
    <t>NEWSROOM – upstream of all three engines</t>
  </si>
  <si>
    <t>Lane</t>
  </si>
  <si>
    <t>Newsroom</t>
  </si>
  <si>
    <t>Journalism powers all three engines and answers to none – the trust everything borrows</t>
  </si>
  <si>
    <t>– independent</t>
  </si>
  <si>
    <t>Serves</t>
  </si>
  <si>
    <t>● Operating model adopted – editorial placed upstream, interfaces named</t>
  </si>
  <si>
    <t>Notes / provenance</t>
  </si>
  <si>
    <t>◐ Editorial Feedback Loop restarted</t>
  </si>
  <si>
    <t>● METRIC DECIDED – return-attribution vs parked R30 (habit line) + citations (authority line) vs others</t>
  </si>
  <si>
    <t>NEWSROOM (upstream of all three engines)</t>
  </si>
  <si>
    <t>◇</t>
  </si>
  <si>
    <t>O1 · BRAND &amp; DISTRIBUTION</t>
  </si>
  <si>
    <t>NR</t>
  </si>
  <si>
    <t>(existing editorial cadence rows carry as-is)</t>
  </si>
  <si>
    <t>30 Sept</t>
  </si>
  <si>
    <t>Brand &amp; Campaigns</t>
  </si>
  <si>
    <t>Newsroom → Audience interface (the return reason)</t>
  </si>
  <si>
    <t>One Inc42 message, told the same way everywhere</t>
  </si>
  <si>
    <t>Editorial metric decision lands ~Oct with the scoring work — no metric row until then</t>
  </si>
  <si>
    <t>–</t>
  </si>
  <si>
    <t>● Brand v2 rollout starts – agreement done, work can begin</t>
  </si>
  <si>
    <t>● Message live across Inc42 media
● Extend to Datalabs and the App, not just media
● Perception survey sent
● Inc42 Design System v1
● IP Design System</t>
  </si>
  <si>
    <t>● One message across all three services
● Read the perception baseline
● Inc42 master brand campaign work kickoff
● Design refresh &amp; unification work kickoff
● Founder branding kickoff with positioning &amp; calendar
● Employer branding kickoff</t>
  </si>
  <si>
    <t>O1</t>
  </si>
  <si>
    <t>● Inc42 master brand campaign work
● Design refresh &amp; unification work
● Founder branding
● Employer branding</t>
  </si>
  <si>
    <t>● Year in Review ships
● Inc42 master brand campaign work
● Design refresh &amp; unification work
● Founder branding
● Employer branding</t>
  </si>
  <si>
    <t>● Outlook 2027 ships</t>
  </si>
  <si>
    <t>2 brand campaigns shipped · recall measured against the JAS baseline · Brand v2 message live across Inc42 media + extended to Datalabs &amp; App</t>
  </si>
  <si>
    <t>The engine's daily reach – handles, platforms, series. Voice: raw, authentic, personality, aspiration</t>
  </si>
  <si>
    <t>Brand &amp; Distribution · Brand &amp; Campaigns</t>
  </si>
  <si>
    <t>OND focus IS brand (no new IP launches). Extension to all three services per the Product &amp; Brand tab</t>
  </si>
  <si>
    <t xml:space="preserve">● 242K monthly interactions 
● 4 Series
● ORM Tool Locked </t>
  </si>
  <si>
    <t>● Series shipping on the owner grid
● Expand focus to Twitter and Facebook
● ORM at 90% reply rate</t>
  </si>
  <si>
    <t>● Cadence holds
● ORM at 100% reply rate</t>
  </si>
  <si>
    <t>Monthly interactions target (rebaseline post-Aug) · series shipping on the owner grid</t>
  </si>
  <si>
    <t>● Cadence holds</t>
  </si>
  <si>
    <t>Brand &amp; Distribution · Social</t>
  </si>
  <si>
    <t>Explainers, news roundups/show, series &amp; flagship – the seam between newsroom and brand</t>
  </si>
  <si>
    <t>Carry: series owners+dates were overdue in Aug</t>
  </si>
  <si>
    <t>● D2C Reels IP at 2x/week
● Youtube Explainer Series at 1x/week</t>
  </si>
  <si>
    <t>● 500k+ views/m, 5k+ Interactions
● D2C Reels IP at 2x/week
● 2 New Reels IP Piloted
● Youtube Cadence Solidified</t>
  </si>
  <si>
    <t>Per the video plan — ⚠ REBUILD FIRST: draft is built around departed Tejas; Aditya interim. Owner set 08-21: Aditya</t>
  </si>
  <si>
    <t>● Existing cadence continues (3 Reel IPs, 1 YT IP)
● 1 New YT IP Kickoff
● Flagship video IP/podcast work kickoff</t>
  </si>
  <si>
    <t>● 1Mn+ views/m, 10k+ Interactions
● Existing Cadence continues
● Flagship video IP launch</t>
  </si>
  <si>
    <t>Brand &amp; Distribution · Video</t>
  </si>
  <si>
    <t>Distribution</t>
  </si>
  <si>
    <t>The multiplier on everything above – influencer, amplification, UGC, citations</t>
  </si>
  <si>
    <t>Perception survey SENT — overdue since July (the brand vision's own Q2 gate)</t>
  </si>
  <si>
    <t>Citations instrumentation</t>
  </si>
  <si>
    <t>▢ Scope</t>
  </si>
  <si>
    <t>● Citations tracking starts – feeds the perception KPI</t>
  </si>
  <si>
    <t>15 Sept</t>
  </si>
  <si>
    <t>◇ Influencer &amp; amplification playbook from what Brand v2 shows</t>
  </si>
  <si>
    <t>NEW from the Product &amp; Brand tab — the T0 for every brand read</t>
  </si>
  <si>
    <t>O2 · AUDIENCE</t>
  </si>
  <si>
    <t>O2</t>
  </si>
  <si>
    <t>Measurement</t>
  </si>
  <si>
    <t>Identity spine live (web+Datalabs+email+app leg) · Datalabs 30-day counter ON · app events piped · NORTH STAR PROPERLY MEASURABLE</t>
  </si>
  <si>
    <t>Prapti (data/warehouse) · Ranjith (implementation)</t>
  </si>
  <si>
    <t>Measurement &amp; Data Activation</t>
  </si>
  <si>
    <t>per roadmap v2 Wave 1–2</t>
  </si>
  <si>
    <t>See the audience properly, fix what we cannot see – and USE what we already know without waiting for the rest</t>
  </si>
  <si>
    <t>Audience · Measurement &amp; Data Activation</t>
  </si>
  <si>
    <t>Prapti (warehouse &amp; data activation) · Ranjith (instruments)</t>
  </si>
  <si>
    <t>Data Activation waits on NOTHING – that is the point. Measurement waits on the 30-day clock (product)</t>
  </si>
  <si>
    <t>REWRITTEN from the 08-12 draft: baseline is DONE (pulled+verified 08-14/15); owner updated per the warehouse ownership decision (was Nityam+Prapti). Dates from 62-warehouse-roadmap-v2.md</t>
  </si>
  <si>
    <t>Unification</t>
  </si>
  <si>
    <t>● Record when our tracking broke, so trends stop lying
● Clean up duplicate and dead data
● Pipe app activity into the warehouse – recovers 3 activity types at once
🔴 ● Onboarding (seniority + company) at APP SIGN-IN (not signup – 3 in 4 app users already have an account)
● Fix and set audit process for all analytics (events, properties) across Inc42, Datalabs, App, IPs
● Fix reading-depth (scroll) tracking
● Fix duplicate-person merging in the app
● Do-not-contact and safety rules in place
● Agree which fields we push and who depends on them
● First Reverse ETL push live</t>
  </si>
  <si>
    <t>"One Inc42" WRITTEN DEFINITION shipped — one login, one navigation, one value proposition; the document IS the deliverable</t>
  </si>
  <si>
    <t>Utkarsh (chair)</t>
  </si>
  <si>
    <t>Ranjith, Nityam</t>
  </si>
  <si>
    <t>● One profile per person across web, data, email and app
● Turn on the Datalabs 30-day counter – recovers a whole activity type
● Day-by-day view of what each person did
● NORTH STAR MEASURABLE PROPERLY for the first time
● Tracking changeover completes (~20 Sep)
◇ Product picks what to build from what engagement data shows
● Restart contact with 93,000 dormant reachable people
● Push the engagement tier into the messaging tool
● Segments built on engagement score go live</t>
  </si>
  <si>
    <t>Audience · Unification</t>
  </si>
  <si>
    <t>● See who uses more than one product
● Build the engagement score on real data
● Set the engagement tiers from evidence, not opinion
◇ Product picks what to build from what engagement data shows
● Full behavioural targeting</t>
  </si>
  <si>
    <t>NEW — the Sept gate for unification's graduation to Ranjith (Oct retro). Was in the AOP plan, missing here</t>
  </si>
  <si>
    <t>Activation</t>
  </si>
  <si>
    <t>First reverse-ETL push LIVE — 26K qualified reachable by role · reactivation sequence to the 93K dormant pool · engagement tier pushed to Customer.io</t>
  </si>
  <si>
    <t>Prapti + Growth</t>
  </si>
  <si>
    <t>Making Inc42 feel like one product instead of five separate ones</t>
  </si>
  <si>
    <t>Utkarsh (chair) → Ranjith at delivery
Nityam owns the brand/messaging half</t>
  </si>
  <si>
    <t>NEW from the Audience Engine tab — was in nobody's September</t>
  </si>
  <si>
    <t>Identity spine (Sep, Engine tab)</t>
  </si>
  <si>
    <t>● Agree what "One Inc42" actually means – the seam decision nobody owns today
● Write it down: one login, one navigation, one value proposition – a dated document, not a discussion
● Audit where the three services contradict each other today
● Lifecycle journeys ship for Datalabs and the App SEPARATELY (unification comes after, by design)</t>
  </si>
  <si>
    <t>● UNIFICATION PLAN shipped – one design for messaging, navigation, onboarding and lifecycle journeys across Inc42, Datalabs, App (plan in Sept, delivery phased)
● Cross-surface use measurable for the first time (1.6–3.4% today)</t>
  </si>
  <si>
    <t>Retention</t>
  </si>
  <si>
    <t>● Hands over to Ranjith for delivery
◇ Which cross-surface paths to build next, from what people actually use</t>
  </si>
  <si>
    <t>🔴 RENEWAL MOTION BUILT — 15% auto-renew today; 26–142 Plus terms end monthly with zero communication</t>
  </si>
  <si>
    <t>Acquire &amp; Identify</t>
  </si>
  <si>
    <t>Do the right people ARRIVE — and do we learn who they are at the door? One person, any surface</t>
  </si>
  <si>
    <t>Audience · Retain &amp; Renew</t>
  </si>
  <si>
    <t>Growth + Ranjith (gates &amp; capture) · Nityam (acquisition)</t>
  </si>
  <si>
    <t>OWNED 08-21: renewal comms → product (Ranjith), consistent with membership-line ownership. Was the largest unclaimed lever (see tiers workbook §5)</t>
  </si>
  <si>
    <t>App sign-in capture (Aug)</t>
  </si>
  <si>
    <t>● App is live (12 Aug)
● Marketing ramp begins w/c 25 Aug
▶ ● Seniority + company asked at app sign-in
⚠ Web acquisition goal still targets WEIU – needs rewriting</t>
  </si>
  <si>
    <t>● App marketing at full scale
◐ Sign-up gate test on web (onsite freewall &amp; newsletter locks)
● ONE onboarding pattern agreed across all three services</t>
  </si>
  <si>
    <t>Onsite acquisition v2 live · qualified signups from bought channels baselined · gate test STARTED (Register Lock restored first)</t>
  </si>
  <si>
    <t>◇ Product picks what to change from what the gate test shows</t>
  </si>
  <si>
    <t>Nityam (Animesh runs)</t>
  </si>
  <si>
    <t>Audience · Acquire &amp; Identify</t>
  </si>
  <si>
    <t>● Signup→identified conversion read (the stage's number)</t>
  </si>
  <si>
    <t>Activate &amp; Deepen</t>
  </si>
  <si>
    <t>The interim lane's first month with a number. Gate test per A2 — holdout needs Register Lock back</t>
  </si>
  <si>
    <t>Does a known person form a HABIT in the first weeks — and reach a second surface? The mechanism competition runs INSIDE this stage: candidates compete on 30-day return, winners get investment, losers get dropped</t>
  </si>
  <si>
    <t>Ranjith (runs) · Utkarsh (scores)</t>
  </si>
  <si>
    <t>Reports distribution target</t>
  </si>
  <si>
    <t>Engagement scoring (Oct, Measurement track)</t>
  </si>
  <si>
    <t>● App notifications for Brief &amp; Breaking cadence
● Datalabs Newsletter · Social Briefing (Pulse) – candidates named
▶ ● Lifecycle journeys ship for Datalabs and the App SEPARATELY</t>
  </si>
  <si>
    <t>● Alerts, community and report surfaces scoped
● Unification plan folds the journeys into one design (with the Unification track)</t>
  </si>
  <si>
    <t>● FIRST SCORING – every candidate measured on 30-day return, on real data
● Journeys running on real engagement segments</t>
  </si>
  <si>
    <t>Moved into O2/Acquisition by Utkarsh 08-21 — reports drive downloads→registrations. Editorial still supplies the report itself (Newsroom interface)</t>
  </si>
  <si>
    <t>● Winners get investment, losers dropped – visibly, so the discipline is real</t>
  </si>
  <si>
    <t>● Winners become the membership's candidate entitlements</t>
  </si>
  <si>
    <t>◇ Second round</t>
  </si>
  <si>
    <t>● Persistence read – did the 34%→94.5% frequency yardstick move?</t>
  </si>
  <si>
    <t>Lifecycle: campaign sequences live (marketing) · behavioural alerts scoped (product) · Datalabs onboarding DESIGNED (the only service without one)</t>
  </si>
  <si>
    <t>Retain &amp; Renew</t>
  </si>
  <si>
    <t>Animesh · Ranjith</t>
  </si>
  <si>
    <t>MONTHS later, are they still here — and did we ask them to stay? Reactivation, win-backs, renewal, payment recovery</t>
  </si>
  <si>
    <t>Ranjith (renewal + in-product) · Animesh (campaigns)</t>
  </si>
  <si>
    <t>First warehouse push (Aug) + segments (Sep)</t>
  </si>
  <si>
    <t>Audience · Activate &amp; Deepen</t>
  </si>
  <si>
    <t>▶ ● Payment retries and dunning – recovers failed payments</t>
  </si>
  <si>
    <t>First month under the lifecycle split + onboarding gap from the Product &amp; Brand tab</t>
  </si>
  <si>
    <t>▶ ● Reactivation sequence to the 93K dormant reachable pool
● Datalabs renewal motion, Plus new &amp; existing memberships call</t>
  </si>
  <si>
    <t>● Win-backs running on engagement segments</t>
  </si>
  <si>
    <t>Payment leak Sprint 2 close-out + B1 mobile + B2 filters (deferred from Aug)</t>
  </si>
  <si>
    <t>Ranjith (owner) · Ashish (build)</t>
  </si>
  <si>
    <t>● Renewal rate read vs today's 15%</t>
  </si>
  <si>
    <t>Utkarsh, Prapti</t>
  </si>
  <si>
    <t>AI Layer (Ask)</t>
  </si>
  <si>
    <t>Ask Inc42 – answers drawn from our own data, on every surface</t>
  </si>
  <si>
    <t>Ranjith + Ashish</t>
  </si>
  <si>
    <t>– nothing. Already shipping</t>
  </si>
  <si>
    <t>Payments → product per the ownership map. Involuntary churn — distinct from the renewal row</t>
  </si>
  <si>
    <t>▶ ● Ask Datalabs: streaming and fast mode ship (21 Aug)
▶ ● Ask Inc42 live in the app</t>
  </si>
  <si>
    <t>● Decide whether Ask goes on Inc42.com, and build it
● Start counting Ask queries – one of only two audience activities we cannot currently see at all</t>
  </si>
  <si>
    <t>● Ask live on all three surfaces
● Usage and answer quality measured</t>
  </si>
  <si>
    <t>Activation target vs the Aug baseline · employer+seniority capture at SIGN-IN live · 30-day tracking clock CLEARS (~20 Sept if started Aug)</t>
  </si>
  <si>
    <t>◇ Does the AI layer sit inside the paid membership or stay free – decided on usage, not opinion</t>
  </si>
  <si>
    <t>Audience · Acquire &amp; Identify · coverage</t>
  </si>
  <si>
    <t>UPDATED: app launched 12 Aug; sign-in outnumbers register 3:1 so capture moves to sign-in; identify() already solved (98.3%)</t>
  </si>
  <si>
    <t>Offering</t>
  </si>
  <si>
    <t>Learning what people would actually pay for, before we build it</t>
  </si>
  <si>
    <t>AI (Ask)</t>
  </si>
  <si>
    <t>Ranjith + Utkarsh</t>
  </si>
  <si>
    <t>Engagement evidence (Oct) + A1 probe</t>
  </si>
  <si>
    <t>Ask on Inc42.com DECIDED and building (third surface) · Ask query events instrumented — one of the two genuinely unmeasured qualifying actions</t>
  </si>
  <si>
    <t>● Price probe on existing subscribers
◇ Read the probe</t>
  </si>
  <si>
    <t>Ranjith · Ashish</t>
  </si>
  <si>
    <t>◐ Engagement evidence builds up</t>
  </si>
  <si>
    <t>◇ Shape the offering from what people actually use</t>
  </si>
  <si>
    <t>Audience · AI Layer</t>
  </si>
  <si>
    <t>◇ Define the membership candidate</t>
  </si>
  <si>
    <t>◇ Design the pilot</t>
  </si>
  <si>
    <t>SPLIT 08-21 from the O4 AI row — consumer-facing Ask is an Audience capability; Engine Room keeps internal AI only</t>
  </si>
  <si>
    <t>◇ Pilot runs early FY28</t>
  </si>
  <si>
    <t>O3 · IPs, EVENTS &amp; COMMUNITIES</t>
  </si>
  <si>
    <t>Retention Mechanisms</t>
  </si>
  <si>
    <t>Pulse (social briefing) ENTERS the competition — legal gate closed + the 15-Jul team approval finally sent · candidate list named (alerts, community, report surfaces)</t>
  </si>
  <si>
    <t>Ranjith (runs) · Utkarsh (scores Oct)</t>
  </si>
  <si>
    <t>—</t>
  </si>
  <si>
    <t>Flagships &amp; Editions</t>
  </si>
  <si>
    <t>Which rooms land when – milestones only; the IP calendar tab stays the source of truth</t>
  </si>
  <si>
    <t>Per-IP owners</t>
  </si>
  <si>
    <t>NEW — the competition's first entrants; scored on 30-day return lift in Oct</t>
  </si>
  <si>
    <t>IP calendar</t>
  </si>
  <si>
    <t>● D2C Summit delivered (19 Aug)</t>
  </si>
  <si>
    <t>● CTO Summit (30 Sept) · D2C Retreat (17–19 Sept)</t>
  </si>
  <si>
    <t>Entity coverage: startups + investors adds (qualification layer)</t>
  </si>
  <si>
    <t>● FAST42 marketing starts</t>
  </si>
  <si>
    <t>● AI Workplaces launch</t>
  </si>
  <si>
    <t>Audience · Measurement &amp; Data Activation · coverage</t>
  </si>
  <si>
    <t>● FAST42 event · Tech Rich List</t>
  </si>
  <si>
    <t>Cohorts &amp; Communities</t>
  </si>
  <si>
    <t>Do the recurring formats compound – cohorts, dialogues, the club cadence</t>
  </si>
  <si>
    <t>A1 price probe RUN + READ on the legacy book (₹4,999–14,999 band, pooled ~20% bar) · ~38 lapsed data-buyers called</t>
  </si>
  <si>
    <t>● D2CX C10 starts (Aug end)</t>
  </si>
  <si>
    <t>● D2CX C10 starts (Aug end)
● Convocation 22–23 Sept</t>
  </si>
  <si>
    <t>● Basecamp 3–5 Oct
● RetailX C1 Starts</t>
  </si>
  <si>
    <t>Audience · Offering</t>
  </si>
  <si>
    <t>◐ C11 starts (Nov end)</t>
  </si>
  <si>
    <t>◇ Dialogues cadence read</t>
  </si>
  <si>
    <t>NEW — pre-registered bar: sample migrating below ~20% = tier prices rework before anything is built</t>
  </si>
  <si>
    <t>◐ C12 starts (Feb mid)</t>
  </si>
  <si>
    <t>IP Capability</t>
  </si>
  <si>
    <t>Does the portfolio get the machinery – QAA, per-edition P&amp;L, the per-IP-GM model</t>
  </si>
  <si>
    <t>Per-IP owners · Utkarsh (QAA rule)</t>
  </si>
  <si>
    <t>O3</t>
  </si>
  <si>
    <t>Delivered end-to-end 30 Sept — identity, assets, marketing, 75+ tickets, experience</t>
  </si>
  <si>
    <t>Vishvani (mktg) · Akshay (design) · Pooja (agenda)</t>
  </si>
  <si>
    <t>IPs · Flagships &amp; Editions</t>
  </si>
  <si>
    <t>Akshay Day-60 outcome; first per-IP-GM-style edition. QAA measurable once events-sheets lane exists</t>
  </si>
  <si>
    <t>D2CX</t>
  </si>
  <si>
    <t>Convocation 22–23 Sept delivered · Basecamp 3–5 Oct prepped</t>
  </si>
  <si>
    <t>23 Sept</t>
  </si>
  <si>
    <t>IPs · Cohorts &amp; Communities</t>
  </si>
  <si>
    <t>Mid-VD join is the design cover</t>
  </si>
  <si>
    <t>Events-team sheets (the QAA instrument)</t>
  </si>
  <si>
    <t>Retreat delivered 17–19 Sept · 30 qualified applications closed</t>
  </si>
  <si>
    <t>● QAA adopted – same qualification bar as QIA, never a second definition
● Events-sheets ask scoped: which events, which columns, who sends · CTO Summit + D2CX Convocation + Retreats delivered (Sept MOP)</t>
  </si>
  <si>
    <t>Nityam, Utkarsh</t>
  </si>
  <si>
    <t>● AI Led IP Marketing System (Brand, Comms, Outreach, Analysis, etc)</t>
  </si>
  <si>
    <t>19 Sept</t>
  </si>
  <si>
    <t>"Qualified" = the QIA bar — same definition (QAA rule)</t>
  </si>
  <si>
    <t>Marketing prep only — launch Oct, event FEB</t>
  </si>
  <si>
    <t>prep</t>
  </si>
  <si>
    <t>● FAST42 event (Feb)</t>
  </si>
  <si>
    <t>Do NOT let a delivery row reappear for Dec</t>
  </si>
  <si>
    <t>◇ QAA in every edition report</t>
  </si>
  <si>
    <t>O4 · ENGINE ROOM</t>
  </si>
  <si>
    <t>O4</t>
  </si>
  <si>
    <t>Design system</t>
  </si>
  <si>
    <t>≥2 repeat formats templated (T3→template) · pod intake running on the board</t>
  </si>
  <si>
    <t>Internal AI &amp; Agent Platform</t>
  </si>
  <si>
    <t>Akshay</t>
  </si>
  <si>
    <t>The AI that runs the company – pilots, adoption, the agent platform. A11: cost per QIA roughly flat while QIA scales</t>
  </si>
  <si>
    <t>Prapti (pilots) · Ranjith (platform, per S5)</t>
  </si>
  <si>
    <t>QIA measurable (~Oct) for the cost line</t>
  </si>
  <si>
    <t>Engine Room · Automation &amp; Infra</t>
  </si>
  <si>
    <t>▶ ● Social intelligence queryable via Slack</t>
  </si>
  <si>
    <t>The compounding metric</t>
  </si>
  <si>
    <t>● AI Data Requests + AI Research pilots live</t>
  </si>
  <si>
    <t>● Adoption push toward the 20–30-user mandate · cost-per-QIA baseline (first measurable month)</t>
  </si>
  <si>
    <t>Automation</t>
  </si>
  <si>
    <t>◐ Cost line reported monthly</t>
  </si>
  <si>
    <t>Newsletter automation live · invoicing/chat-support automation for IP ops (from Aug)</t>
  </si>
  <si>
    <t>Animesh · Ashish</t>
  </si>
  <si>
    <t>● A11 read: cost flat while QIA multiplied?</t>
  </si>
  <si>
    <t>Automation &amp; Infra</t>
  </si>
  <si>
    <t>The boring compounding – automation, templates, the design system, the servers</t>
  </si>
  <si>
    <t>Animesh · Ashish · Akshay (design system)</t>
  </si>
  <si>
    <t>▶ ● Newsletter automation · Azure migration in flight</t>
  </si>
  <si>
    <t>Azure migration close-out (if deferred from Aug at the kickoff item)</t>
  </si>
  <si>
    <t>● Invoicing &amp; Support automation · ≥2 repeat formats templated
● Server migrations close-out + cost stabalisation</t>
  </si>
  <si>
    <t>◇ Next automation targets from ops pain</t>
  </si>
  <si>
    <t>⬜ per Aug decision</t>
  </si>
  <si>
    <t>● Cost base read vs Aug</t>
  </si>
  <si>
    <t>The Aug collision decision decides this row</t>
  </si>
  <si>
    <t>Internal-AI pilots — AI Data Requests + AI Research on Inc42 data</t>
  </si>
  <si>
    <t>Engine Room · Internal AI &amp; Agent Platform</t>
  </si>
  <si>
    <t>Prapti-deprioritisation rule holds. Consumer Ask split to the O2 AI (Ask) row</t>
  </si>
  <si>
    <t>NOTES — carried forward from the pre-lock plan</t>
  </si>
  <si>
    <t>RULES (compact): 1· Protected tier — warehouse/measurement rows: raids are reported misses, not absorbed. 2· Prapti-deprioritisation — if the warehouse gets a date, something else of hers comes OFF. 3· Serves grammar = Engine · Track (· driver where QIA-touching); a row serving nothing is missing strategy or shouldn't exist — control-tower check flags orphans both ways.</t>
  </si>
  <si>
    <t>1. CROSSWALK to the MOP: lanes match 1:1. In O2, MOP rows are SURFACES (App, Datalabs, Data…) serving journey-stage tracks — read the Serves column; one surface may serve different stages in different months. Every MOP Serves value must name a track here; the Monday serves-check enforces both directions.</t>
  </si>
  <si>
    <t>Citations tracking starts — feeds the perception KPI</t>
  </si>
  <si>
    <t>2. ▶ marks work already running as a MOP goal — this tab gives it a destination, it is not new work landing on top.</t>
  </si>
  <si>
    <t>Brand &amp; Distribution · Distribution</t>
  </si>
  <si>
    <t>ADDED by the serves-check 08-21: committed in the FY27 plan, served by no row</t>
  </si>
  <si>
    <t>3. 🔴 We currently compute the north-star on 3 of its 9 defined activities; most of the rest are already tracked and just not piped into the warehouse. WHEN THOSE SWITCH ON THE NUMBER WILL JUMP — that is a measurement fix, NOT growth, and must not be banked as growth.</t>
  </si>
  <si>
    <t>Events-team sheets ask scoped — which events, which columns, who sends each cycle (the QAA instrument)</t>
  </si>
  <si>
    <t>Utkarsh (ask) · events team (supply)</t>
  </si>
  <si>
    <t>4. The app launched 12 Aug. Three in four app users are existing accounts signing IN — so capture happens at sign-in, not signup. The 30-day tracking changeover is calendar time: started in Aug it clears ~20 Sep; later, everything after moves with it.</t>
  </si>
  <si>
    <t>IPs · IP Capability</t>
  </si>
  <si>
    <t>ADDED by the serves-check 08-21: the QAA instrument's first concrete step</t>
  </si>
  <si>
    <t>5. Unification is chaired (Utkarsh) because it cuts across product, brand, Datalabs and the app — it graduates to Ranjith once "One Inc42" is defined in writing. The mechanism competition inside Activate &amp; Deepen is a competition, not a delivery plan: evidence decides which survive.</t>
  </si>
  <si>
    <t>6. ⚠ marks known-stale items left visible on purpose (e.g. the web acquisition goal still citing a retired metric) — fixed at the MOP review, not silently here.</t>
  </si>
  <si>
    <t>7. Lanes have opposite shapes on purpose: Audience lands by ~Oct then runs; Brand / IP / Engine Room fill as evidence arrives. Newsroom and IP lanes are thin BY DESIGN — first horizon entries, not incomplete plans.</t>
  </si>
  <si>
    <t>8. Griffin is out of scope on this plan and the MOP (Utkarsh, 2026-08-21) — it runs on the Griffin desk with its own cadence.</t>
  </si>
  <si>
    <t>WHAT WE DELIBERATELY HAVE NOT DECIDED YET (merged register – single source)</t>
  </si>
  <si>
    <t>Decision</t>
  </si>
  <si>
    <t>Who decides</t>
  </si>
  <si>
    <t>When</t>
  </si>
  <si>
    <t>What tells us the answer</t>
  </si>
  <si>
    <t>What "One Inc42" actually means in the product</t>
  </si>
  <si>
    <t>A written definition – that document IS the deliverable, not a meeting</t>
  </si>
  <si>
    <t>Who owns unification after October</t>
  </si>
  <si>
    <t>Oct retro</t>
  </si>
  <si>
    <t>Whether "One Inc42" is defined in writing and the August instrument work has landed — then delivery moves to product</t>
  </si>
  <si>
    <t>Which retention mechanisms survive → get investment</t>
  </si>
  <si>
    <t>Utkarsh scores (Oct) · Ranjith invests (Nov)</t>
  </si>
  <si>
    <t>Oct → Nov</t>
  </si>
  <si>
    <t>30-day return lift – measured, not argued</t>
  </si>
  <si>
    <t>What the membership contains</t>
  </si>
  <si>
    <t>What engaged people actually use, not what we assume</t>
  </si>
  <si>
    <t>Price and packaging</t>
  </si>
  <si>
    <t>The price probe on existing subscribers</t>
  </si>
  <si>
    <t>Whether the sign-up gate stays</t>
  </si>
  <si>
    <t>The gate test – does it cost more traffic than it gains identity</t>
  </si>
  <si>
    <t>Does the AI layer sit in the paid tier or stay free</t>
  </si>
  <si>
    <t>Real Ask usage across the three surfaces</t>
  </si>
  <si>
    <t>Editorial's metric (habit line)</t>
  </si>
  <si>
    <t>Utkarsh + Editorial</t>
  </si>
  <si>
    <t>~Oct</t>
  </si>
  <si>
    <t>Return-attribution credibility from the scoring work; R30 parked unless it fails</t>
  </si>
  <si>
    <t>How the three services' messages converge</t>
  </si>
  <si>
    <t>Brand v2 rollout plus the perception baseline</t>
  </si>
  <si>
    <t>Consent rules for marketing</t>
  </si>
  <si>
    <t>Prapti → legal</t>
  </si>
  <si>
    <t>Best-practice research, then legal sign-off</t>
  </si>
  <si>
    <t>Whether to merge our 3 messaging workspaces</t>
  </si>
  <si>
    <t>Separate discussion – not blocking anything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</si>
</sst>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20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sz val="11.0"/>
      <color rgb="FFFFFFFF"/>
      <name val="Calibri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b/>
      <sz val="22.0"/>
      <color rgb="FFFF0000"/>
      <name val="Calibri"/>
    </font>
    <font/>
    <font>
      <b/>
      <sz val="14.0"/>
      <color rgb="FFFFFFFF"/>
      <name val="Calibri"/>
    </font>
    <font>
      <sz val="11.0"/>
      <color theme="1"/>
      <name val="Calibri"/>
    </font>
    <font>
      <color rgb="FF1D1C1D"/>
      <name val="Arial"/>
    </font>
    <font>
      <b/>
      <sz val="13.0"/>
      <color rgb="FFFFFFFF"/>
      <name val="Arial"/>
      <scheme val="minor"/>
    </font>
    <font>
      <i/>
      <sz val="9.0"/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b/>
      <sz val="11.0"/>
      <color rgb="FFFFFFFF"/>
      <name val="Arial"/>
      <scheme val="minor"/>
    </font>
    <font>
      <b/>
      <sz val="9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212633"/>
        <bgColor rgb="FF212633"/>
      </patternFill>
    </fill>
    <fill>
      <patternFill patternType="solid">
        <fgColor rgb="FFEFEFEF"/>
        <bgColor rgb="FFEFEFEF"/>
      </patternFill>
    </fill>
    <fill>
      <patternFill patternType="solid">
        <fgColor rgb="FF262B38"/>
        <bgColor rgb="FF262B38"/>
      </patternFill>
    </fill>
    <fill>
      <patternFill patternType="solid">
        <fgColor rgb="FFD8E2F4"/>
        <bgColor rgb="FFD8E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bottom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shrinkToFit="0" vertical="bottom" wrapText="1"/>
    </xf>
    <xf borderId="1" fillId="4" fontId="6" numFmtId="0" xfId="0" applyBorder="1" applyFill="1" applyFont="1"/>
    <xf borderId="1" fillId="0" fontId="2" numFmtId="0" xfId="0" applyAlignment="1" applyBorder="1" applyFont="1">
      <alignment vertical="top"/>
    </xf>
    <xf borderId="1" fillId="4" fontId="6" numFmtId="0" xfId="0" applyAlignment="1" applyBorder="1" applyFill="1" applyFont="1">
      <alignment readingOrder="0" shrinkToFit="0" vertical="top" wrapText="1"/>
    </xf>
    <xf borderId="1" fillId="4" fontId="6" numFmtId="164" xfId="0" applyAlignment="1" applyBorder="1" applyFill="1" applyFont="1" applyNumberForma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0" fillId="3" fontId="6" numFmtId="0" xfId="0" applyFill="1" applyFont="1"/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1" fillId="3" fontId="2" numFmtId="0" xfId="0" applyAlignment="1" applyBorder="1" applyFill="1" applyFont="1">
      <alignment vertical="top"/>
    </xf>
    <xf borderId="1" fillId="0" fontId="2" numFmtId="49" xfId="0" applyAlignment="1" applyBorder="1" applyFont="1" applyNumberFormat="1">
      <alignment readingOrder="0" vertical="bottom"/>
    </xf>
    <xf borderId="1" fillId="0" fontId="6" numFmtId="9" xfId="0" applyAlignment="1" applyBorder="1" applyFont="1" applyNumberFormat="1">
      <alignment readingOrder="0" shrinkToFit="0" vertical="top" wrapText="1"/>
    </xf>
    <xf borderId="1" fillId="3" fontId="6" numFmtId="0" xfId="0" applyAlignment="1" applyBorder="1" applyFill="1" applyFont="1">
      <alignment shrinkToFit="0" vertical="top" wrapText="1"/>
    </xf>
    <xf borderId="0" fillId="3" fontId="6" numFmtId="0" xfId="0" applyAlignment="1" applyFill="1" applyFont="1">
      <alignment shrinkToFit="0" vertical="top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horizontal="center"/>
    </xf>
    <xf borderId="3" fillId="0" fontId="9" numFmtId="0" xfId="0" applyBorder="1" applyFont="1"/>
    <xf borderId="4" fillId="0" fontId="9" numFmtId="0" xfId="0" applyBorder="1" applyFont="1"/>
    <xf borderId="1" fillId="2" fontId="10" numFmtId="0" xfId="0" applyAlignment="1" applyBorder="1" applyFill="1" applyFont="1">
      <alignment horizontal="center"/>
    </xf>
    <xf borderId="1" fillId="2" fontId="10" numFmtId="0" xfId="0" applyAlignment="1" applyBorder="1" applyFill="1" applyFont="1">
      <alignment horizontal="center" shrinkToFit="0" wrapText="1"/>
    </xf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1" fillId="0" fontId="2" numFmtId="0" xfId="0" applyBorder="1" applyFont="1"/>
    <xf borderId="1" fillId="0" fontId="11" numFmtId="0" xfId="0" applyAlignment="1" applyBorder="1" applyFont="1">
      <alignment horizontal="right"/>
    </xf>
    <xf borderId="1" fillId="0" fontId="12" numFmtId="0" xfId="0" applyBorder="1" applyFont="1"/>
    <xf borderId="0" fillId="5" fontId="13" numFmtId="0" xfId="0" applyAlignment="1" applyFill="1" applyFont="1">
      <alignment readingOrder="0"/>
    </xf>
    <xf borderId="0" fillId="6" fontId="14" numFmtId="0" xfId="0" applyAlignment="1" applyFill="1" applyFont="1">
      <alignment readingOrder="0" shrinkToFit="0" wrapText="1"/>
    </xf>
    <xf borderId="0" fillId="0" fontId="6" numFmtId="0" xfId="0" applyAlignment="1" applyFont="1">
      <alignment readingOrder="0"/>
    </xf>
    <xf borderId="0" fillId="5" fontId="15" numFmtId="0" xfId="0" applyAlignment="1" applyFill="1" applyFont="1">
      <alignment readingOrder="0"/>
    </xf>
    <xf borderId="0" fillId="7" fontId="13" numFmtId="0" xfId="0" applyAlignment="1" applyFill="1" applyFont="1">
      <alignment readingOrder="0"/>
    </xf>
    <xf borderId="0" fillId="8" fontId="16" numFmtId="0" xfId="0" applyAlignment="1" applyFill="1" applyFont="1">
      <alignment readingOrder="0" shrinkToFit="0" vertical="top" wrapText="1"/>
    </xf>
    <xf borderId="0" fillId="7" fontId="15" numFmtId="0" xfId="0" applyAlignment="1" applyFill="1" applyFont="1">
      <alignment readingOrder="0"/>
    </xf>
    <xf borderId="0" fillId="0" fontId="17" numFmtId="0" xfId="0" applyAlignment="1" applyFont="1">
      <alignment readingOrder="0" shrinkToFit="0" vertical="top" wrapText="1"/>
    </xf>
    <xf borderId="0" fillId="5" fontId="18" numFmtId="0" xfId="0" applyAlignment="1" applyFill="1" applyFont="1">
      <alignment readingOrder="0"/>
    </xf>
    <xf borderId="0" fillId="0" fontId="14" numFmtId="0" xfId="0" applyAlignment="1" applyFont="1">
      <alignment readingOrder="0" shrinkToFit="0" vertical="top" wrapText="1"/>
    </xf>
    <xf borderId="0" fillId="6" fontId="19" numFmtId="0" xfId="0" applyAlignment="1" applyFill="1" applyFont="1">
      <alignment readingOrder="0"/>
    </xf>
    <xf borderId="0" fillId="0" fontId="1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54.13"/>
    <col customWidth="1" min="4" max="4" width="55.63"/>
  </cols>
  <sheetData>
    <row r="1">
      <c r="A1" s="1" t="s">
        <v>0</v>
      </c>
      <c r="B1" s="1" t="s">
        <v>2</v>
      </c>
      <c r="C1" s="3" t="s">
        <v>3</v>
      </c>
      <c r="D1" s="1" t="s">
        <v>4</v>
      </c>
    </row>
    <row r="2">
      <c r="A2" s="5" t="s">
        <v>5</v>
      </c>
      <c r="B2" s="5"/>
      <c r="C2" s="5"/>
      <c r="D2" s="5"/>
    </row>
    <row r="3">
      <c r="A3" s="1" t="s">
        <v>6</v>
      </c>
      <c r="B3" s="7"/>
      <c r="C3" s="7"/>
      <c r="D3" s="7"/>
    </row>
    <row r="4">
      <c r="A4" s="9" t="s">
        <v>8</v>
      </c>
      <c r="B4" s="10" t="s">
        <v>13</v>
      </c>
      <c r="C4" s="11" t="s">
        <v>15</v>
      </c>
      <c r="D4" s="11" t="s">
        <v>17</v>
      </c>
    </row>
    <row r="5">
      <c r="A5" s="13" t="s">
        <v>5</v>
      </c>
      <c r="B5" s="10"/>
      <c r="C5" s="15" t="s">
        <v>19</v>
      </c>
      <c r="D5" s="11" t="s">
        <v>21</v>
      </c>
    </row>
    <row r="6">
      <c r="A6" s="13" t="s">
        <v>5</v>
      </c>
      <c r="B6" s="10"/>
      <c r="C6" s="15" t="s">
        <v>22</v>
      </c>
      <c r="D6" s="17" t="s">
        <v>23</v>
      </c>
    </row>
    <row r="7">
      <c r="A7" s="13"/>
      <c r="B7" s="10"/>
      <c r="C7" s="19" t="s">
        <v>25</v>
      </c>
      <c r="D7" s="21"/>
    </row>
    <row r="8">
      <c r="A8" s="13"/>
      <c r="B8" s="10"/>
      <c r="C8" s="19" t="s">
        <v>29</v>
      </c>
      <c r="D8" s="17" t="s">
        <v>30</v>
      </c>
    </row>
    <row r="9">
      <c r="A9" s="13"/>
      <c r="B9" s="10"/>
      <c r="C9" s="10"/>
      <c r="D9" s="21"/>
    </row>
    <row r="10">
      <c r="A10" s="13" t="s">
        <v>31</v>
      </c>
      <c r="B10" s="10" t="s">
        <v>5</v>
      </c>
      <c r="C10" s="19" t="s">
        <v>32</v>
      </c>
      <c r="D10" s="17" t="s">
        <v>33</v>
      </c>
    </row>
    <row r="11">
      <c r="A11" s="13" t="s">
        <v>5</v>
      </c>
      <c r="B11" s="10"/>
      <c r="C11" s="10"/>
      <c r="D11" s="21"/>
    </row>
    <row r="12">
      <c r="A12" s="13" t="s">
        <v>34</v>
      </c>
      <c r="B12" s="10" t="s">
        <v>5</v>
      </c>
      <c r="C12" s="24" t="s">
        <v>35</v>
      </c>
      <c r="D12" s="17" t="s">
        <v>36</v>
      </c>
    </row>
    <row r="13">
      <c r="A13" s="13" t="s">
        <v>5</v>
      </c>
      <c r="B13" s="10"/>
      <c r="C13" s="10"/>
      <c r="D13" s="21"/>
    </row>
    <row r="14">
      <c r="A14" s="13" t="s">
        <v>37</v>
      </c>
      <c r="B14" s="10" t="s">
        <v>38</v>
      </c>
      <c r="C14" s="19" t="s">
        <v>39</v>
      </c>
      <c r="D14" s="17" t="s">
        <v>41</v>
      </c>
    </row>
    <row r="15">
      <c r="A15" s="10" t="s">
        <v>5</v>
      </c>
      <c r="B15" s="19" t="s">
        <v>42</v>
      </c>
      <c r="C15" s="19" t="s">
        <v>43</v>
      </c>
      <c r="D15" s="17" t="s">
        <v>44</v>
      </c>
    </row>
    <row r="16">
      <c r="A16" s="10"/>
      <c r="B16" s="19" t="s">
        <v>48</v>
      </c>
      <c r="C16" s="19" t="s">
        <v>51</v>
      </c>
      <c r="D16" s="19" t="s">
        <v>52</v>
      </c>
    </row>
    <row r="17">
      <c r="A17" s="10" t="s">
        <v>5</v>
      </c>
      <c r="B17" s="10" t="s">
        <v>54</v>
      </c>
      <c r="C17" s="15" t="s">
        <v>58</v>
      </c>
      <c r="D17" s="19" t="s">
        <v>59</v>
      </c>
    </row>
    <row r="18">
      <c r="A18" s="5" t="s">
        <v>5</v>
      </c>
      <c r="B18" s="5"/>
      <c r="C18" s="5"/>
      <c r="D18" s="29"/>
    </row>
    <row r="19">
      <c r="A19" s="13" t="s">
        <v>65</v>
      </c>
      <c r="B19" s="10" t="s">
        <v>66</v>
      </c>
      <c r="C19" s="19" t="s">
        <v>67</v>
      </c>
      <c r="D19" s="21"/>
    </row>
    <row r="20">
      <c r="A20" s="10"/>
      <c r="B20" s="10" t="s">
        <v>68</v>
      </c>
      <c r="C20" s="19" t="s">
        <v>69</v>
      </c>
      <c r="D20" s="21"/>
    </row>
    <row r="21">
      <c r="A21" s="10" t="s">
        <v>5</v>
      </c>
      <c r="B21" s="10" t="s">
        <v>8</v>
      </c>
      <c r="C21" s="19" t="s">
        <v>70</v>
      </c>
      <c r="D21" s="21"/>
    </row>
    <row r="22">
      <c r="A22" s="5" t="s">
        <v>5</v>
      </c>
      <c r="B22" s="5"/>
      <c r="C22" s="5"/>
      <c r="D22" s="29"/>
    </row>
    <row r="23">
      <c r="A23" s="13" t="s">
        <v>24</v>
      </c>
      <c r="B23" s="10" t="s">
        <v>49</v>
      </c>
      <c r="C23" s="19" t="s">
        <v>71</v>
      </c>
      <c r="D23" s="19" t="s">
        <v>71</v>
      </c>
    </row>
    <row r="24">
      <c r="A24" s="10" t="s">
        <v>5</v>
      </c>
      <c r="B24" s="10" t="s">
        <v>74</v>
      </c>
      <c r="C24" s="19" t="s">
        <v>76</v>
      </c>
      <c r="D24" s="19" t="s">
        <v>76</v>
      </c>
    </row>
    <row r="25">
      <c r="A25" s="10" t="s">
        <v>5</v>
      </c>
      <c r="B25" s="10" t="s">
        <v>77</v>
      </c>
      <c r="C25" s="19" t="s">
        <v>79</v>
      </c>
      <c r="D25" s="19" t="s">
        <v>79</v>
      </c>
    </row>
    <row r="26">
      <c r="A26" s="10" t="s">
        <v>5</v>
      </c>
      <c r="B26" s="10" t="s">
        <v>84</v>
      </c>
      <c r="C26" s="19" t="s">
        <v>86</v>
      </c>
      <c r="D26" s="21"/>
    </row>
    <row r="27">
      <c r="A27" s="10" t="s">
        <v>5</v>
      </c>
      <c r="B27" s="10" t="s">
        <v>40</v>
      </c>
      <c r="C27" s="19" t="s">
        <v>88</v>
      </c>
      <c r="D27" s="17" t="s">
        <v>89</v>
      </c>
    </row>
    <row r="28">
      <c r="A28" s="10" t="s">
        <v>5</v>
      </c>
      <c r="B28" s="10" t="s">
        <v>90</v>
      </c>
      <c r="C28" s="19" t="s">
        <v>91</v>
      </c>
      <c r="D28" s="21"/>
    </row>
    <row r="29">
      <c r="A29" s="10" t="s">
        <v>5</v>
      </c>
      <c r="B29" s="10" t="s">
        <v>93</v>
      </c>
      <c r="C29" s="19" t="s">
        <v>94</v>
      </c>
      <c r="D29" s="21"/>
    </row>
    <row r="30">
      <c r="A30" s="5"/>
      <c r="B30" s="5"/>
      <c r="C30" s="5"/>
      <c r="D3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" max="3" width="17.63"/>
    <col customWidth="1" min="4" max="4" width="43.5"/>
    <col customWidth="1" min="5" max="5" width="15.75"/>
    <col customWidth="1" min="10" max="10" width="16.13"/>
    <col customWidth="1" min="12" max="12" width="26.25"/>
    <col customWidth="1" min="13" max="13" width="2.88"/>
    <col customWidth="1" min="14" max="16" width="30.75"/>
    <col customWidth="1" min="17" max="17" width="2.88"/>
  </cols>
  <sheetData>
    <row r="1">
      <c r="A1" s="2" t="s">
        <v>1</v>
      </c>
      <c r="B1" s="4" t="s">
        <v>0</v>
      </c>
      <c r="C1" s="6" t="s">
        <v>2</v>
      </c>
      <c r="D1" s="8" t="s">
        <v>7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14</v>
      </c>
      <c r="J1" s="12" t="s">
        <v>16</v>
      </c>
      <c r="K1" s="14" t="s">
        <v>18</v>
      </c>
      <c r="L1" s="14" t="s">
        <v>20</v>
      </c>
      <c r="M1" s="16"/>
      <c r="N1" s="14" t="s">
        <v>26</v>
      </c>
      <c r="O1" s="14" t="s">
        <v>27</v>
      </c>
      <c r="P1" s="14" t="s">
        <v>28</v>
      </c>
      <c r="Q1" s="16"/>
    </row>
    <row r="2">
      <c r="A2" s="18" t="s">
        <v>24</v>
      </c>
      <c r="B2" s="18" t="s">
        <v>24</v>
      </c>
      <c r="C2" s="20"/>
      <c r="D2" s="22"/>
      <c r="E2" s="22"/>
      <c r="F2" s="22"/>
      <c r="G2" s="23"/>
      <c r="H2" s="22"/>
      <c r="I2" s="22"/>
      <c r="J2" s="22"/>
      <c r="K2" s="22"/>
      <c r="L2" s="22"/>
      <c r="M2" s="25"/>
      <c r="N2" s="22"/>
      <c r="O2" s="22"/>
      <c r="P2" s="22"/>
      <c r="Q2" s="25"/>
    </row>
    <row r="3">
      <c r="A3" s="26"/>
      <c r="B3" s="26" t="s">
        <v>49</v>
      </c>
      <c r="C3" s="27"/>
      <c r="D3" s="26" t="s">
        <v>53</v>
      </c>
      <c r="E3" s="26" t="s">
        <v>47</v>
      </c>
      <c r="F3" s="26" t="s">
        <v>56</v>
      </c>
      <c r="G3" s="28">
        <v>46169.0</v>
      </c>
      <c r="H3" s="26" t="s">
        <v>60</v>
      </c>
      <c r="I3" s="26" t="s">
        <v>61</v>
      </c>
      <c r="J3" s="30" t="s">
        <v>64</v>
      </c>
      <c r="K3" s="31">
        <v>0.857</v>
      </c>
      <c r="L3" s="27"/>
      <c r="M3" s="32"/>
      <c r="N3" s="26" t="s">
        <v>72</v>
      </c>
      <c r="O3" s="26" t="s">
        <v>73</v>
      </c>
      <c r="P3" s="26" t="s">
        <v>75</v>
      </c>
      <c r="Q3" s="32"/>
    </row>
    <row r="4">
      <c r="A4" s="26"/>
      <c r="B4" s="26" t="s">
        <v>74</v>
      </c>
      <c r="C4" s="27"/>
      <c r="D4" s="26" t="s">
        <v>82</v>
      </c>
      <c r="E4" s="26" t="s">
        <v>83</v>
      </c>
      <c r="F4" s="26" t="s">
        <v>56</v>
      </c>
      <c r="G4" s="28">
        <v>46153.0</v>
      </c>
      <c r="H4" s="26" t="s">
        <v>85</v>
      </c>
      <c r="I4" s="26" t="s">
        <v>87</v>
      </c>
      <c r="J4" s="30" t="s">
        <v>64</v>
      </c>
      <c r="K4" s="31">
        <v>1.0</v>
      </c>
      <c r="L4" s="27"/>
      <c r="M4" s="25"/>
      <c r="N4" s="34" t="s">
        <v>92</v>
      </c>
      <c r="O4" s="34" t="s">
        <v>92</v>
      </c>
      <c r="P4" s="34" t="s">
        <v>92</v>
      </c>
      <c r="Q4" s="25"/>
    </row>
    <row r="5">
      <c r="A5" s="26"/>
      <c r="B5" s="26" t="s">
        <v>40</v>
      </c>
      <c r="C5" s="27"/>
      <c r="D5" s="26" t="s">
        <v>98</v>
      </c>
      <c r="E5" s="26" t="s">
        <v>81</v>
      </c>
      <c r="F5" s="26" t="s">
        <v>50</v>
      </c>
      <c r="G5" s="28">
        <v>46173.0</v>
      </c>
      <c r="H5" s="26" t="s">
        <v>55</v>
      </c>
      <c r="I5" s="26" t="s">
        <v>99</v>
      </c>
      <c r="J5" s="30" t="s">
        <v>62</v>
      </c>
      <c r="K5" s="31">
        <v>0.4</v>
      </c>
      <c r="L5" s="26" t="s">
        <v>100</v>
      </c>
      <c r="M5" s="32"/>
      <c r="N5" s="26" t="s">
        <v>101</v>
      </c>
      <c r="O5" s="26" t="s">
        <v>102</v>
      </c>
      <c r="P5" s="26" t="s">
        <v>104</v>
      </c>
      <c r="Q5" s="32"/>
    </row>
    <row r="6">
      <c r="A6" s="26"/>
      <c r="B6" s="26" t="s">
        <v>77</v>
      </c>
      <c r="C6" s="27"/>
      <c r="D6" s="26" t="s">
        <v>80</v>
      </c>
      <c r="E6" s="26" t="s">
        <v>81</v>
      </c>
      <c r="F6" s="26" t="s">
        <v>50</v>
      </c>
      <c r="G6" s="28">
        <v>46173.0</v>
      </c>
      <c r="H6" s="26" t="s">
        <v>85</v>
      </c>
      <c r="I6" s="26" t="s">
        <v>99</v>
      </c>
      <c r="J6" s="30" t="s">
        <v>64</v>
      </c>
      <c r="K6" s="31">
        <v>1.0</v>
      </c>
      <c r="L6" s="26" t="s">
        <v>108</v>
      </c>
      <c r="M6" s="25"/>
      <c r="N6" s="34" t="s">
        <v>92</v>
      </c>
      <c r="O6" s="34" t="s">
        <v>92</v>
      </c>
      <c r="P6" s="34" t="s">
        <v>110</v>
      </c>
      <c r="Q6" s="25"/>
    </row>
    <row r="7">
      <c r="A7" s="26"/>
      <c r="B7" s="26" t="s">
        <v>84</v>
      </c>
      <c r="C7" s="27"/>
      <c r="D7" s="26" t="s">
        <v>96</v>
      </c>
      <c r="E7" s="26" t="s">
        <v>97</v>
      </c>
      <c r="F7" s="26" t="s">
        <v>50</v>
      </c>
      <c r="G7" s="28">
        <v>46173.0</v>
      </c>
      <c r="H7" s="26" t="s">
        <v>85</v>
      </c>
      <c r="I7" s="26" t="s">
        <v>97</v>
      </c>
      <c r="J7" s="30" t="s">
        <v>107</v>
      </c>
      <c r="K7" s="31">
        <v>0.0</v>
      </c>
      <c r="L7" s="27"/>
      <c r="M7" s="25"/>
      <c r="N7" s="34" t="s">
        <v>92</v>
      </c>
      <c r="O7" s="26" t="s">
        <v>116</v>
      </c>
      <c r="P7" s="26" t="s">
        <v>96</v>
      </c>
      <c r="Q7" s="25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25"/>
      <c r="N8" s="32"/>
      <c r="O8" s="32"/>
      <c r="P8" s="32"/>
      <c r="Q8" s="25"/>
    </row>
    <row r="9">
      <c r="A9" s="18" t="s">
        <v>6</v>
      </c>
      <c r="B9" s="18" t="s">
        <v>6</v>
      </c>
      <c r="C9" s="20"/>
      <c r="D9" s="22"/>
      <c r="E9" s="22"/>
      <c r="F9" s="22"/>
      <c r="G9" s="23"/>
      <c r="H9" s="22"/>
      <c r="I9" s="22"/>
      <c r="J9" s="22"/>
      <c r="K9" s="22"/>
      <c r="L9" s="22"/>
      <c r="M9" s="25"/>
      <c r="N9" s="22"/>
      <c r="O9" s="22"/>
      <c r="P9" s="22"/>
      <c r="Q9" s="25"/>
    </row>
    <row r="10">
      <c r="A10" s="27"/>
      <c r="B10" s="26" t="s">
        <v>31</v>
      </c>
      <c r="C10" s="26" t="s">
        <v>118</v>
      </c>
      <c r="D10" s="26" t="s">
        <v>119</v>
      </c>
      <c r="E10" s="26" t="s">
        <v>97</v>
      </c>
      <c r="F10" s="26" t="s">
        <v>50</v>
      </c>
      <c r="G10" s="28">
        <v>46173.0</v>
      </c>
      <c r="H10" s="26" t="s">
        <v>121</v>
      </c>
      <c r="I10" s="26" t="s">
        <v>122</v>
      </c>
      <c r="J10" s="30" t="s">
        <v>62</v>
      </c>
      <c r="K10" s="31">
        <v>0.75</v>
      </c>
      <c r="L10" s="26" t="s">
        <v>123</v>
      </c>
      <c r="M10" s="25"/>
      <c r="N10" s="26" t="s">
        <v>125</v>
      </c>
      <c r="O10" s="26" t="s">
        <v>126</v>
      </c>
      <c r="P10" s="26" t="s">
        <v>127</v>
      </c>
      <c r="Q10" s="25"/>
    </row>
    <row r="11">
      <c r="A11" s="27"/>
      <c r="B11" s="26" t="s">
        <v>31</v>
      </c>
      <c r="C11" s="26" t="s">
        <v>128</v>
      </c>
      <c r="D11" s="26" t="s">
        <v>131</v>
      </c>
      <c r="E11" s="26" t="s">
        <v>97</v>
      </c>
      <c r="F11" s="26" t="s">
        <v>50</v>
      </c>
      <c r="G11" s="28">
        <v>46173.0</v>
      </c>
      <c r="H11" s="26" t="s">
        <v>55</v>
      </c>
      <c r="I11" s="26" t="s">
        <v>122</v>
      </c>
      <c r="J11" s="30" t="s">
        <v>64</v>
      </c>
      <c r="K11" s="31">
        <v>1.0</v>
      </c>
      <c r="L11" s="27"/>
      <c r="M11" s="25"/>
      <c r="N11" s="26" t="s">
        <v>136</v>
      </c>
      <c r="O11" s="26" t="s">
        <v>137</v>
      </c>
      <c r="P11" s="26" t="s">
        <v>137</v>
      </c>
      <c r="Q11" s="25"/>
    </row>
    <row r="12">
      <c r="A12" s="27"/>
      <c r="B12" s="26" t="s">
        <v>133</v>
      </c>
      <c r="C12" s="26" t="s">
        <v>134</v>
      </c>
      <c r="D12" s="26" t="s">
        <v>138</v>
      </c>
      <c r="E12" s="26" t="s">
        <v>81</v>
      </c>
      <c r="F12" s="26" t="s">
        <v>56</v>
      </c>
      <c r="G12" s="28">
        <v>46173.0</v>
      </c>
      <c r="H12" s="26" t="s">
        <v>55</v>
      </c>
      <c r="I12" s="26" t="s">
        <v>99</v>
      </c>
      <c r="J12" s="30" t="s">
        <v>62</v>
      </c>
      <c r="K12" s="31">
        <v>0.2</v>
      </c>
      <c r="L12" s="26" t="s">
        <v>144</v>
      </c>
      <c r="M12" s="32"/>
      <c r="N12" s="26" t="s">
        <v>146</v>
      </c>
      <c r="O12" s="26" t="s">
        <v>147</v>
      </c>
      <c r="P12" s="26" t="s">
        <v>149</v>
      </c>
      <c r="Q12" s="32"/>
    </row>
    <row r="13">
      <c r="A13" s="27"/>
      <c r="B13" s="26" t="s">
        <v>141</v>
      </c>
      <c r="C13" s="26" t="s">
        <v>142</v>
      </c>
      <c r="D13" s="26" t="s">
        <v>143</v>
      </c>
      <c r="E13" s="26" t="s">
        <v>81</v>
      </c>
      <c r="F13" s="26" t="s">
        <v>145</v>
      </c>
      <c r="G13" s="28">
        <v>46173.0</v>
      </c>
      <c r="H13" s="26" t="s">
        <v>148</v>
      </c>
      <c r="I13" s="26" t="s">
        <v>150</v>
      </c>
      <c r="J13" s="30" t="s">
        <v>62</v>
      </c>
      <c r="K13" s="31">
        <v>0.7</v>
      </c>
      <c r="L13" s="26" t="s">
        <v>155</v>
      </c>
      <c r="M13" s="32"/>
      <c r="N13" s="35" t="s">
        <v>159</v>
      </c>
      <c r="O13" s="26" t="s">
        <v>160</v>
      </c>
      <c r="P13" s="26" t="s">
        <v>161</v>
      </c>
      <c r="Q13" s="32"/>
    </row>
    <row r="14">
      <c r="A14" s="27"/>
      <c r="B14" s="26" t="s">
        <v>153</v>
      </c>
      <c r="C14" s="26" t="s">
        <v>154</v>
      </c>
      <c r="D14" s="26" t="s">
        <v>166</v>
      </c>
      <c r="E14" s="26" t="s">
        <v>81</v>
      </c>
      <c r="F14" s="26" t="s">
        <v>145</v>
      </c>
      <c r="G14" s="28">
        <v>46173.0</v>
      </c>
      <c r="H14" s="26" t="s">
        <v>157</v>
      </c>
      <c r="I14" s="26" t="s">
        <v>169</v>
      </c>
      <c r="J14" s="30" t="s">
        <v>107</v>
      </c>
      <c r="K14" s="31">
        <v>0.0</v>
      </c>
      <c r="L14" s="26" t="s">
        <v>170</v>
      </c>
      <c r="M14" s="32"/>
      <c r="N14" s="26" t="s">
        <v>171</v>
      </c>
      <c r="O14" s="26" t="s">
        <v>173</v>
      </c>
      <c r="P14" s="26" t="s">
        <v>174</v>
      </c>
      <c r="Q14" s="32"/>
    </row>
    <row r="15">
      <c r="A15" s="27"/>
      <c r="B15" s="26" t="s">
        <v>34</v>
      </c>
      <c r="C15" s="26" t="s">
        <v>177</v>
      </c>
      <c r="D15" s="26" t="s">
        <v>178</v>
      </c>
      <c r="E15" s="26" t="s">
        <v>179</v>
      </c>
      <c r="F15" s="26" t="s">
        <v>50</v>
      </c>
      <c r="G15" s="28">
        <v>46173.0</v>
      </c>
      <c r="H15" s="26" t="s">
        <v>167</v>
      </c>
      <c r="I15" s="26" t="s">
        <v>168</v>
      </c>
      <c r="J15" s="30" t="s">
        <v>107</v>
      </c>
      <c r="K15" s="31">
        <v>0.0</v>
      </c>
      <c r="L15" s="27"/>
      <c r="M15" s="25"/>
      <c r="N15" s="26" t="s">
        <v>180</v>
      </c>
      <c r="O15" s="26" t="s">
        <v>181</v>
      </c>
      <c r="P15" s="26" t="s">
        <v>181</v>
      </c>
      <c r="Q15" s="25"/>
    </row>
    <row r="16">
      <c r="A16" s="27"/>
      <c r="B16" s="26" t="s">
        <v>34</v>
      </c>
      <c r="C16" s="26" t="s">
        <v>162</v>
      </c>
      <c r="D16" s="26" t="s">
        <v>163</v>
      </c>
      <c r="E16" s="26" t="s">
        <v>165</v>
      </c>
      <c r="F16" s="26" t="s">
        <v>50</v>
      </c>
      <c r="G16" s="28">
        <v>46173.0</v>
      </c>
      <c r="H16" s="26" t="s">
        <v>167</v>
      </c>
      <c r="I16" s="26" t="s">
        <v>168</v>
      </c>
      <c r="J16" s="30" t="s">
        <v>62</v>
      </c>
      <c r="K16" s="31">
        <v>0.1</v>
      </c>
      <c r="L16" s="27"/>
      <c r="M16" s="25"/>
      <c r="N16" s="26" t="s">
        <v>189</v>
      </c>
      <c r="O16" s="26" t="s">
        <v>191</v>
      </c>
      <c r="P16" s="27"/>
      <c r="Q16" s="25"/>
    </row>
    <row r="17">
      <c r="A17" s="27"/>
      <c r="B17" s="26" t="s">
        <v>34</v>
      </c>
      <c r="C17" s="26" t="s">
        <v>172</v>
      </c>
      <c r="D17" s="26" t="s">
        <v>175</v>
      </c>
      <c r="E17" s="26" t="s">
        <v>197</v>
      </c>
      <c r="F17" s="26" t="s">
        <v>50</v>
      </c>
      <c r="G17" s="28">
        <v>46173.0</v>
      </c>
      <c r="H17" s="26" t="s">
        <v>167</v>
      </c>
      <c r="I17" s="26" t="s">
        <v>168</v>
      </c>
      <c r="J17" s="30" t="s">
        <v>107</v>
      </c>
      <c r="K17" s="31">
        <v>0.0</v>
      </c>
      <c r="L17" s="27"/>
      <c r="M17" s="25"/>
      <c r="N17" s="34" t="s">
        <v>92</v>
      </c>
      <c r="O17" s="34" t="s">
        <v>92</v>
      </c>
      <c r="P17" s="34" t="s">
        <v>92</v>
      </c>
      <c r="Q17" s="25"/>
    </row>
    <row r="18">
      <c r="A18" s="27"/>
      <c r="B18" s="26" t="s">
        <v>42</v>
      </c>
      <c r="C18" s="26" t="s">
        <v>192</v>
      </c>
      <c r="D18" s="26" t="s">
        <v>206</v>
      </c>
      <c r="E18" s="26" t="s">
        <v>203</v>
      </c>
      <c r="F18" s="26" t="s">
        <v>56</v>
      </c>
      <c r="G18" s="28">
        <v>46173.0</v>
      </c>
      <c r="H18" s="26" t="s">
        <v>198</v>
      </c>
      <c r="I18" s="26" t="s">
        <v>199</v>
      </c>
      <c r="J18" s="30" t="s">
        <v>64</v>
      </c>
      <c r="K18" s="31">
        <v>1.0</v>
      </c>
      <c r="L18" s="27"/>
      <c r="M18" s="25"/>
      <c r="N18" s="26" t="s">
        <v>206</v>
      </c>
      <c r="O18" s="26" t="s">
        <v>211</v>
      </c>
      <c r="P18" s="26" t="s">
        <v>212</v>
      </c>
      <c r="Q18" s="25"/>
    </row>
    <row r="19">
      <c r="A19" s="27"/>
      <c r="B19" s="26" t="s">
        <v>42</v>
      </c>
      <c r="C19" s="26" t="s">
        <v>201</v>
      </c>
      <c r="D19" s="26" t="s">
        <v>216</v>
      </c>
      <c r="E19" s="26" t="s">
        <v>203</v>
      </c>
      <c r="F19" s="26" t="s">
        <v>56</v>
      </c>
      <c r="G19" s="28">
        <v>46173.0</v>
      </c>
      <c r="H19" s="26" t="s">
        <v>198</v>
      </c>
      <c r="I19" s="26" t="s">
        <v>199</v>
      </c>
      <c r="J19" s="30" t="s">
        <v>62</v>
      </c>
      <c r="K19" s="31">
        <v>0.8</v>
      </c>
      <c r="L19" s="26" t="s">
        <v>220</v>
      </c>
      <c r="M19" s="25"/>
      <c r="N19" s="34" t="s">
        <v>92</v>
      </c>
      <c r="O19" s="26" t="s">
        <v>216</v>
      </c>
      <c r="P19" s="34" t="s">
        <v>92</v>
      </c>
      <c r="Q19" s="25"/>
    </row>
    <row r="20">
      <c r="A20" s="27"/>
      <c r="B20" s="26" t="s">
        <v>42</v>
      </c>
      <c r="C20" s="26" t="s">
        <v>208</v>
      </c>
      <c r="D20" s="26" t="s">
        <v>209</v>
      </c>
      <c r="E20" s="26" t="s">
        <v>203</v>
      </c>
      <c r="F20" s="26" t="s">
        <v>56</v>
      </c>
      <c r="G20" s="28">
        <v>46173.0</v>
      </c>
      <c r="H20" s="26" t="s">
        <v>198</v>
      </c>
      <c r="I20" s="26" t="s">
        <v>210</v>
      </c>
      <c r="J20" s="30" t="s">
        <v>62</v>
      </c>
      <c r="K20" s="31">
        <v>0.3</v>
      </c>
      <c r="L20" s="26" t="s">
        <v>228</v>
      </c>
      <c r="M20" s="32"/>
      <c r="N20" s="26" t="s">
        <v>231</v>
      </c>
      <c r="O20" s="26" t="s">
        <v>233</v>
      </c>
      <c r="P20" s="26" t="s">
        <v>234</v>
      </c>
      <c r="Q20" s="32"/>
    </row>
    <row r="21">
      <c r="A21" s="27"/>
      <c r="B21" s="26" t="s">
        <v>48</v>
      </c>
      <c r="C21" s="26" t="s">
        <v>214</v>
      </c>
      <c r="D21" s="26" t="s">
        <v>215</v>
      </c>
      <c r="E21" s="26" t="s">
        <v>217</v>
      </c>
      <c r="F21" s="26" t="s">
        <v>145</v>
      </c>
      <c r="G21" s="28">
        <v>46173.0</v>
      </c>
      <c r="H21" s="26" t="s">
        <v>199</v>
      </c>
      <c r="I21" s="26" t="s">
        <v>218</v>
      </c>
      <c r="J21" s="30" t="s">
        <v>64</v>
      </c>
      <c r="K21" s="31">
        <v>1.0</v>
      </c>
      <c r="L21" s="27"/>
      <c r="M21" s="25"/>
      <c r="N21" s="34" t="s">
        <v>110</v>
      </c>
      <c r="O21" s="34" t="s">
        <v>110</v>
      </c>
      <c r="P21" s="34" t="s">
        <v>110</v>
      </c>
      <c r="Q21" s="25"/>
    </row>
    <row r="22">
      <c r="A22" s="27"/>
      <c r="B22" s="26" t="s">
        <v>48</v>
      </c>
      <c r="C22" s="26" t="s">
        <v>221</v>
      </c>
      <c r="D22" s="26" t="s">
        <v>222</v>
      </c>
      <c r="E22" s="26" t="s">
        <v>217</v>
      </c>
      <c r="F22" s="26" t="s">
        <v>145</v>
      </c>
      <c r="G22" s="28">
        <v>46173.0</v>
      </c>
      <c r="H22" s="26" t="s">
        <v>199</v>
      </c>
      <c r="I22" s="26" t="s">
        <v>218</v>
      </c>
      <c r="J22" s="30" t="s">
        <v>64</v>
      </c>
      <c r="K22" s="31">
        <v>1.0</v>
      </c>
      <c r="L22" s="27"/>
      <c r="M22" s="25"/>
      <c r="N22" s="34" t="s">
        <v>110</v>
      </c>
      <c r="O22" s="34" t="s">
        <v>110</v>
      </c>
      <c r="P22" s="34" t="s">
        <v>110</v>
      </c>
      <c r="Q22" s="25"/>
    </row>
    <row r="23">
      <c r="A23" s="27"/>
      <c r="B23" s="26" t="s">
        <v>48</v>
      </c>
      <c r="C23" s="26" t="s">
        <v>225</v>
      </c>
      <c r="D23" s="26" t="s">
        <v>227</v>
      </c>
      <c r="E23" s="26" t="s">
        <v>217</v>
      </c>
      <c r="F23" s="26" t="s">
        <v>145</v>
      </c>
      <c r="G23" s="28">
        <v>46173.0</v>
      </c>
      <c r="H23" s="26" t="s">
        <v>199</v>
      </c>
      <c r="I23" s="26" t="s">
        <v>218</v>
      </c>
      <c r="J23" s="30" t="s">
        <v>107</v>
      </c>
      <c r="K23" s="31">
        <v>0.0</v>
      </c>
      <c r="L23" s="27"/>
      <c r="M23" s="25"/>
      <c r="N23" s="34" t="s">
        <v>110</v>
      </c>
      <c r="O23" s="34" t="s">
        <v>110</v>
      </c>
      <c r="P23" s="34" t="s">
        <v>110</v>
      </c>
      <c r="Q23" s="25"/>
    </row>
    <row r="24">
      <c r="A24" s="27"/>
      <c r="B24" s="26" t="s">
        <v>48</v>
      </c>
      <c r="C24" s="26" t="s">
        <v>236</v>
      </c>
      <c r="D24" s="26" t="s">
        <v>250</v>
      </c>
      <c r="E24" s="26" t="s">
        <v>217</v>
      </c>
      <c r="F24" s="26" t="s">
        <v>145</v>
      </c>
      <c r="G24" s="28">
        <v>46173.0</v>
      </c>
      <c r="H24" s="26" t="s">
        <v>199</v>
      </c>
      <c r="I24" s="26" t="s">
        <v>218</v>
      </c>
      <c r="J24" s="30" t="s">
        <v>62</v>
      </c>
      <c r="K24" s="31">
        <v>0.6</v>
      </c>
      <c r="L24" s="26" t="s">
        <v>254</v>
      </c>
      <c r="M24" s="25"/>
      <c r="N24" s="26" t="s">
        <v>255</v>
      </c>
      <c r="O24" s="34" t="s">
        <v>110</v>
      </c>
      <c r="P24" s="34" t="s">
        <v>110</v>
      </c>
      <c r="Q24" s="25"/>
    </row>
    <row r="25">
      <c r="A25" s="27"/>
      <c r="B25" s="26" t="s">
        <v>48</v>
      </c>
      <c r="C25" s="26" t="s">
        <v>241</v>
      </c>
      <c r="D25" s="26" t="s">
        <v>257</v>
      </c>
      <c r="E25" s="26" t="s">
        <v>217</v>
      </c>
      <c r="F25" s="26" t="s">
        <v>145</v>
      </c>
      <c r="G25" s="28">
        <v>46173.0</v>
      </c>
      <c r="H25" s="26" t="s">
        <v>199</v>
      </c>
      <c r="I25" s="26" t="s">
        <v>218</v>
      </c>
      <c r="J25" s="30" t="s">
        <v>62</v>
      </c>
      <c r="K25" s="31">
        <v>0.7</v>
      </c>
      <c r="L25" s="26" t="s">
        <v>262</v>
      </c>
      <c r="M25" s="25"/>
      <c r="N25" s="34" t="s">
        <v>110</v>
      </c>
      <c r="O25" s="34" t="s">
        <v>110</v>
      </c>
      <c r="P25" s="34" t="s">
        <v>110</v>
      </c>
      <c r="Q25" s="25"/>
    </row>
    <row r="26">
      <c r="A26" s="27"/>
      <c r="B26" s="26" t="s">
        <v>243</v>
      </c>
      <c r="C26" s="26" t="s">
        <v>244</v>
      </c>
      <c r="D26" s="26" t="s">
        <v>245</v>
      </c>
      <c r="E26" s="26" t="s">
        <v>217</v>
      </c>
      <c r="F26" s="26" t="s">
        <v>246</v>
      </c>
      <c r="G26" s="28">
        <v>46173.0</v>
      </c>
      <c r="H26" s="26" t="s">
        <v>248</v>
      </c>
      <c r="I26" s="26" t="s">
        <v>199</v>
      </c>
      <c r="J26" s="30" t="s">
        <v>114</v>
      </c>
      <c r="K26" s="31">
        <v>0.0</v>
      </c>
      <c r="L26" s="27"/>
      <c r="M26" s="32"/>
      <c r="N26" s="26" t="s">
        <v>255</v>
      </c>
      <c r="O26" s="34" t="s">
        <v>110</v>
      </c>
      <c r="P26" s="34" t="s">
        <v>110</v>
      </c>
      <c r="Q26" s="32"/>
    </row>
    <row r="27">
      <c r="A27" s="27"/>
      <c r="B27" s="26" t="s">
        <v>243</v>
      </c>
      <c r="C27" s="26" t="s">
        <v>251</v>
      </c>
      <c r="D27" s="26" t="s">
        <v>252</v>
      </c>
      <c r="E27" s="26" t="s">
        <v>217</v>
      </c>
      <c r="F27" s="26" t="s">
        <v>145</v>
      </c>
      <c r="G27" s="28">
        <v>46173.0</v>
      </c>
      <c r="H27" s="26" t="s">
        <v>253</v>
      </c>
      <c r="I27" s="26" t="s">
        <v>199</v>
      </c>
      <c r="J27" s="30" t="s">
        <v>107</v>
      </c>
      <c r="K27" s="31">
        <v>0.0</v>
      </c>
      <c r="L27" s="27"/>
      <c r="M27" s="25"/>
      <c r="N27" s="34" t="s">
        <v>92</v>
      </c>
      <c r="O27" s="34" t="s">
        <v>92</v>
      </c>
      <c r="P27" s="26" t="s">
        <v>255</v>
      </c>
      <c r="Q27" s="25"/>
    </row>
    <row r="28">
      <c r="A28" s="27"/>
      <c r="B28" s="26" t="s">
        <v>243</v>
      </c>
      <c r="C28" s="26" t="s">
        <v>256</v>
      </c>
      <c r="D28" s="26" t="s">
        <v>258</v>
      </c>
      <c r="E28" s="26" t="s">
        <v>274</v>
      </c>
      <c r="F28" s="26" t="s">
        <v>145</v>
      </c>
      <c r="G28" s="28">
        <v>46173.0</v>
      </c>
      <c r="H28" s="26" t="s">
        <v>148</v>
      </c>
      <c r="I28" s="26" t="s">
        <v>148</v>
      </c>
      <c r="J28" s="30" t="s">
        <v>62</v>
      </c>
      <c r="K28" s="31">
        <v>0.4</v>
      </c>
      <c r="L28" s="27"/>
      <c r="M28" s="25"/>
      <c r="N28" s="26" t="s">
        <v>258</v>
      </c>
      <c r="O28" s="26" t="s">
        <v>258</v>
      </c>
      <c r="P28" s="34" t="s">
        <v>92</v>
      </c>
      <c r="Q28" s="25"/>
    </row>
    <row r="29">
      <c r="A29" s="27"/>
      <c r="B29" s="26" t="s">
        <v>243</v>
      </c>
      <c r="C29" s="26" t="s">
        <v>282</v>
      </c>
      <c r="D29" s="26" t="s">
        <v>283</v>
      </c>
      <c r="E29" s="26" t="s">
        <v>284</v>
      </c>
      <c r="F29" s="26" t="s">
        <v>50</v>
      </c>
      <c r="G29" s="28">
        <v>46173.0</v>
      </c>
      <c r="H29" s="26" t="s">
        <v>263</v>
      </c>
      <c r="I29" s="26" t="s">
        <v>199</v>
      </c>
      <c r="J29" s="30" t="s">
        <v>63</v>
      </c>
      <c r="K29" s="31">
        <v>0.75</v>
      </c>
      <c r="L29" s="27"/>
      <c r="M29" s="25"/>
      <c r="N29" s="26" t="s">
        <v>286</v>
      </c>
      <c r="O29" s="26" t="s">
        <v>287</v>
      </c>
      <c r="P29" s="26" t="s">
        <v>288</v>
      </c>
      <c r="Q29" s="25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25"/>
      <c r="N30" s="32"/>
      <c r="O30" s="32"/>
      <c r="P30" s="32"/>
      <c r="Q30" s="25"/>
    </row>
  </sheetData>
  <autoFilter ref="$A$1:$L$30"/>
  <dataValidations>
    <dataValidation type="list" allowBlank="1" showErrorMessage="1" sqref="J3:J7 J10:J29">
      <formula1>"Yet To Start,Delayed,In Progress,On Track,Completed"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42.38"/>
    <col customWidth="1" min="10" max="10" width="14.5"/>
    <col customWidth="1" min="13" max="13" width="3.5"/>
  </cols>
  <sheetData>
    <row r="1">
      <c r="A1" s="2" t="s">
        <v>1</v>
      </c>
      <c r="B1" s="4" t="s">
        <v>0</v>
      </c>
      <c r="C1" s="6" t="s">
        <v>2</v>
      </c>
      <c r="D1" s="8" t="s">
        <v>7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14</v>
      </c>
      <c r="J1" s="12" t="s">
        <v>16</v>
      </c>
      <c r="K1" s="14" t="s">
        <v>18</v>
      </c>
      <c r="L1" s="14" t="s">
        <v>20</v>
      </c>
      <c r="M1" s="16"/>
    </row>
    <row r="2">
      <c r="A2" s="18" t="s">
        <v>24</v>
      </c>
      <c r="B2" s="18" t="s">
        <v>24</v>
      </c>
      <c r="C2" s="20"/>
      <c r="D2" s="22"/>
      <c r="E2" s="22"/>
      <c r="F2" s="22"/>
      <c r="G2" s="23"/>
      <c r="H2" s="22"/>
      <c r="I2" s="22"/>
      <c r="J2" s="22"/>
      <c r="K2" s="22"/>
      <c r="L2" s="22"/>
      <c r="M2" s="25"/>
    </row>
    <row r="3">
      <c r="A3" s="26"/>
      <c r="B3" s="26" t="s">
        <v>40</v>
      </c>
      <c r="C3" s="27"/>
      <c r="D3" s="26" t="s">
        <v>45</v>
      </c>
      <c r="E3" s="26" t="s">
        <v>47</v>
      </c>
      <c r="F3" s="26" t="s">
        <v>50</v>
      </c>
      <c r="G3" s="28"/>
      <c r="H3" s="26" t="s">
        <v>55</v>
      </c>
      <c r="I3" s="26" t="s">
        <v>57</v>
      </c>
      <c r="J3" s="30" t="s">
        <v>63</v>
      </c>
      <c r="K3" s="31">
        <v>0.77</v>
      </c>
      <c r="L3" s="26">
        <v>232.0</v>
      </c>
      <c r="M3" s="32"/>
    </row>
    <row r="4">
      <c r="A4" s="26"/>
      <c r="B4" s="26" t="s">
        <v>77</v>
      </c>
      <c r="C4" s="27"/>
      <c r="D4" s="26" t="s">
        <v>80</v>
      </c>
      <c r="E4" s="26" t="s">
        <v>81</v>
      </c>
      <c r="F4" s="26" t="s">
        <v>50</v>
      </c>
      <c r="G4" s="28"/>
      <c r="H4" s="26" t="s">
        <v>85</v>
      </c>
      <c r="I4" s="26" t="s">
        <v>57</v>
      </c>
      <c r="J4" s="30" t="s">
        <v>64</v>
      </c>
      <c r="K4" s="31">
        <v>1.0</v>
      </c>
      <c r="L4" s="27"/>
      <c r="M4" s="25"/>
    </row>
    <row r="5">
      <c r="A5" s="26"/>
      <c r="B5" s="26" t="s">
        <v>84</v>
      </c>
      <c r="C5" s="27"/>
      <c r="D5" s="26" t="s">
        <v>96</v>
      </c>
      <c r="E5" s="26" t="s">
        <v>97</v>
      </c>
      <c r="F5" s="26" t="s">
        <v>50</v>
      </c>
      <c r="G5" s="28"/>
      <c r="H5" s="26" t="s">
        <v>85</v>
      </c>
      <c r="I5" s="26" t="s">
        <v>97</v>
      </c>
      <c r="J5" s="30" t="s">
        <v>64</v>
      </c>
      <c r="K5" s="31">
        <v>1.0</v>
      </c>
      <c r="L5" s="27"/>
      <c r="M5" s="25"/>
    </row>
    <row r="6">
      <c r="A6" s="26"/>
      <c r="B6" s="26" t="s">
        <v>103</v>
      </c>
      <c r="C6" s="27"/>
      <c r="D6" s="26" t="s">
        <v>105</v>
      </c>
      <c r="E6" s="26"/>
      <c r="F6" s="26"/>
      <c r="G6" s="28"/>
      <c r="H6" s="26"/>
      <c r="I6" s="26"/>
      <c r="J6" s="30" t="s">
        <v>107</v>
      </c>
      <c r="K6" s="31"/>
      <c r="L6" s="27"/>
      <c r="M6" s="25"/>
    </row>
    <row r="7">
      <c r="A7" s="26"/>
      <c r="B7" s="26" t="s">
        <v>109</v>
      </c>
      <c r="C7" s="27"/>
      <c r="D7" s="26" t="s">
        <v>111</v>
      </c>
      <c r="E7" s="26" t="s">
        <v>81</v>
      </c>
      <c r="F7" s="26"/>
      <c r="G7" s="28"/>
      <c r="H7" s="26"/>
      <c r="I7" s="26"/>
      <c r="J7" s="30" t="s">
        <v>114</v>
      </c>
      <c r="K7" s="31">
        <v>0.0</v>
      </c>
      <c r="L7" s="27"/>
      <c r="M7" s="25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25"/>
    </row>
    <row r="9">
      <c r="A9" s="18" t="s">
        <v>6</v>
      </c>
      <c r="B9" s="18" t="s">
        <v>6</v>
      </c>
      <c r="C9" s="20"/>
      <c r="D9" s="22"/>
      <c r="E9" s="22"/>
      <c r="F9" s="22"/>
      <c r="G9" s="23"/>
      <c r="H9" s="22"/>
      <c r="I9" s="22"/>
      <c r="J9" s="22"/>
      <c r="K9" s="22"/>
      <c r="L9" s="22"/>
      <c r="M9" s="25"/>
    </row>
    <row r="10">
      <c r="A10" s="27"/>
      <c r="B10" s="26" t="s">
        <v>31</v>
      </c>
      <c r="C10" s="26" t="s">
        <v>118</v>
      </c>
      <c r="D10" s="26" t="s">
        <v>120</v>
      </c>
      <c r="E10" s="26" t="s">
        <v>97</v>
      </c>
      <c r="F10" s="26" t="s">
        <v>50</v>
      </c>
      <c r="G10" s="28"/>
      <c r="H10" s="26" t="s">
        <v>121</v>
      </c>
      <c r="I10" s="26" t="s">
        <v>122</v>
      </c>
      <c r="J10" s="30" t="s">
        <v>64</v>
      </c>
      <c r="K10" s="31">
        <v>0.97</v>
      </c>
      <c r="L10" s="26" t="s">
        <v>124</v>
      </c>
      <c r="M10" s="25"/>
    </row>
    <row r="11">
      <c r="A11" s="27"/>
      <c r="B11" s="26" t="s">
        <v>31</v>
      </c>
      <c r="C11" s="26" t="s">
        <v>128</v>
      </c>
      <c r="D11" s="26" t="s">
        <v>129</v>
      </c>
      <c r="E11" s="26" t="s">
        <v>97</v>
      </c>
      <c r="F11" s="26" t="s">
        <v>50</v>
      </c>
      <c r="G11" s="28"/>
      <c r="H11" s="26" t="s">
        <v>55</v>
      </c>
      <c r="I11" s="26" t="s">
        <v>122</v>
      </c>
      <c r="J11" s="30" t="s">
        <v>64</v>
      </c>
      <c r="K11" s="31"/>
      <c r="L11" s="27"/>
      <c r="M11" s="25"/>
    </row>
    <row r="12">
      <c r="A12" s="27"/>
      <c r="B12" s="26" t="s">
        <v>133</v>
      </c>
      <c r="C12" s="26" t="s">
        <v>134</v>
      </c>
      <c r="D12" s="26" t="s">
        <v>135</v>
      </c>
      <c r="E12" s="26" t="s">
        <v>81</v>
      </c>
      <c r="F12" s="26" t="s">
        <v>56</v>
      </c>
      <c r="G12" s="28"/>
      <c r="H12" s="26" t="s">
        <v>55</v>
      </c>
      <c r="I12" s="26" t="s">
        <v>99</v>
      </c>
      <c r="J12" s="30" t="s">
        <v>114</v>
      </c>
      <c r="K12" s="31">
        <v>0.0</v>
      </c>
      <c r="L12" s="26" t="s">
        <v>140</v>
      </c>
      <c r="M12" s="32"/>
    </row>
    <row r="13">
      <c r="A13" s="27"/>
      <c r="B13" s="26" t="s">
        <v>141</v>
      </c>
      <c r="C13" s="26" t="s">
        <v>142</v>
      </c>
      <c r="D13" s="26" t="s">
        <v>143</v>
      </c>
      <c r="E13" s="26" t="s">
        <v>81</v>
      </c>
      <c r="F13" s="26" t="s">
        <v>145</v>
      </c>
      <c r="G13" s="28"/>
      <c r="H13" s="26" t="s">
        <v>148</v>
      </c>
      <c r="I13" s="26" t="s">
        <v>150</v>
      </c>
      <c r="J13" s="30" t="s">
        <v>107</v>
      </c>
      <c r="K13" s="31">
        <v>0.3</v>
      </c>
      <c r="L13" s="26" t="s">
        <v>152</v>
      </c>
      <c r="M13" s="32"/>
    </row>
    <row r="14">
      <c r="A14" s="27"/>
      <c r="B14" s="26" t="s">
        <v>153</v>
      </c>
      <c r="C14" s="26" t="s">
        <v>154</v>
      </c>
      <c r="D14" s="26" t="s">
        <v>156</v>
      </c>
      <c r="E14" s="26" t="s">
        <v>81</v>
      </c>
      <c r="F14" s="26" t="s">
        <v>145</v>
      </c>
      <c r="G14" s="28"/>
      <c r="H14" s="26" t="s">
        <v>157</v>
      </c>
      <c r="I14" s="26" t="s">
        <v>158</v>
      </c>
      <c r="J14" s="30" t="s">
        <v>62</v>
      </c>
      <c r="K14" s="31">
        <v>0.2</v>
      </c>
      <c r="L14" s="27"/>
      <c r="M14" s="32"/>
    </row>
    <row r="15">
      <c r="A15" s="27"/>
      <c r="B15" s="26" t="s">
        <v>34</v>
      </c>
      <c r="C15" s="26" t="s">
        <v>162</v>
      </c>
      <c r="D15" s="26" t="s">
        <v>163</v>
      </c>
      <c r="E15" s="26" t="s">
        <v>165</v>
      </c>
      <c r="F15" s="26" t="s">
        <v>50</v>
      </c>
      <c r="G15" s="28"/>
      <c r="H15" s="26" t="s">
        <v>167</v>
      </c>
      <c r="I15" s="26" t="s">
        <v>168</v>
      </c>
      <c r="J15" s="30" t="s">
        <v>62</v>
      </c>
      <c r="K15" s="31">
        <v>0.5</v>
      </c>
      <c r="L15" s="27"/>
      <c r="M15" s="25"/>
    </row>
    <row r="16">
      <c r="A16" s="27"/>
      <c r="B16" s="26" t="s">
        <v>34</v>
      </c>
      <c r="C16" s="26" t="s">
        <v>172</v>
      </c>
      <c r="D16" s="26" t="s">
        <v>175</v>
      </c>
      <c r="E16" s="26" t="s">
        <v>165</v>
      </c>
      <c r="F16" s="26" t="s">
        <v>50</v>
      </c>
      <c r="G16" s="28"/>
      <c r="H16" s="26" t="s">
        <v>167</v>
      </c>
      <c r="I16" s="26" t="s">
        <v>168</v>
      </c>
      <c r="J16" s="30" t="s">
        <v>114</v>
      </c>
      <c r="K16" s="31">
        <v>0.5</v>
      </c>
      <c r="L16" s="27"/>
      <c r="M16" s="25"/>
    </row>
    <row r="17">
      <c r="A17" s="27"/>
      <c r="B17" s="26" t="s">
        <v>182</v>
      </c>
      <c r="C17" s="26" t="s">
        <v>183</v>
      </c>
      <c r="D17" s="26" t="s">
        <v>184</v>
      </c>
      <c r="E17" s="26" t="s">
        <v>97</v>
      </c>
      <c r="F17" s="26" t="s">
        <v>50</v>
      </c>
      <c r="G17" s="28"/>
      <c r="H17" s="26" t="s">
        <v>187</v>
      </c>
      <c r="I17" s="26" t="s">
        <v>188</v>
      </c>
      <c r="J17" s="30" t="s">
        <v>63</v>
      </c>
      <c r="K17" s="31">
        <v>0.74</v>
      </c>
      <c r="L17" s="26" t="s">
        <v>190</v>
      </c>
      <c r="M17" s="32"/>
    </row>
    <row r="18">
      <c r="A18" s="27"/>
      <c r="B18" s="26" t="s">
        <v>42</v>
      </c>
      <c r="C18" s="26" t="s">
        <v>192</v>
      </c>
      <c r="D18" s="26" t="s">
        <v>194</v>
      </c>
      <c r="E18" s="26" t="s">
        <v>196</v>
      </c>
      <c r="F18" s="26" t="s">
        <v>56</v>
      </c>
      <c r="G18" s="28"/>
      <c r="H18" s="26" t="s">
        <v>198</v>
      </c>
      <c r="I18" s="26" t="s">
        <v>199</v>
      </c>
      <c r="J18" s="30" t="s">
        <v>64</v>
      </c>
      <c r="K18" s="31">
        <v>1.0</v>
      </c>
      <c r="L18" s="27"/>
      <c r="M18" s="25"/>
    </row>
    <row r="19">
      <c r="A19" s="27"/>
      <c r="B19" s="26" t="s">
        <v>42</v>
      </c>
      <c r="C19" s="26" t="s">
        <v>201</v>
      </c>
      <c r="D19" s="26" t="s">
        <v>202</v>
      </c>
      <c r="E19" s="26" t="s">
        <v>203</v>
      </c>
      <c r="F19" s="26" t="s">
        <v>56</v>
      </c>
      <c r="G19" s="28"/>
      <c r="H19" s="26" t="s">
        <v>198</v>
      </c>
      <c r="I19" s="26" t="s">
        <v>199</v>
      </c>
      <c r="J19" s="30" t="s">
        <v>64</v>
      </c>
      <c r="K19" s="31">
        <v>1.0</v>
      </c>
      <c r="L19" s="27"/>
      <c r="M19" s="25"/>
    </row>
    <row r="20">
      <c r="A20" s="27"/>
      <c r="B20" s="26" t="s">
        <v>42</v>
      </c>
      <c r="C20" s="26" t="s">
        <v>208</v>
      </c>
      <c r="D20" s="26" t="s">
        <v>209</v>
      </c>
      <c r="E20" s="26" t="s">
        <v>203</v>
      </c>
      <c r="F20" s="26" t="s">
        <v>56</v>
      </c>
      <c r="G20" s="28"/>
      <c r="H20" s="26" t="s">
        <v>198</v>
      </c>
      <c r="I20" s="26" t="s">
        <v>210</v>
      </c>
      <c r="J20" s="30" t="s">
        <v>107</v>
      </c>
      <c r="K20" s="31">
        <v>0.5</v>
      </c>
      <c r="L20" s="27"/>
      <c r="M20" s="32"/>
    </row>
    <row r="21">
      <c r="A21" s="27"/>
      <c r="B21" s="26" t="s">
        <v>48</v>
      </c>
      <c r="C21" s="26" t="s">
        <v>214</v>
      </c>
      <c r="D21" s="26" t="s">
        <v>215</v>
      </c>
      <c r="E21" s="26" t="s">
        <v>217</v>
      </c>
      <c r="F21" s="26" t="s">
        <v>145</v>
      </c>
      <c r="G21" s="28"/>
      <c r="H21" s="26" t="s">
        <v>199</v>
      </c>
      <c r="I21" s="26" t="s">
        <v>218</v>
      </c>
      <c r="J21" s="30" t="s">
        <v>63</v>
      </c>
      <c r="K21" s="31">
        <v>1.0</v>
      </c>
      <c r="L21" s="26" t="s">
        <v>219</v>
      </c>
      <c r="M21" s="25"/>
    </row>
    <row r="22">
      <c r="A22" s="27"/>
      <c r="B22" s="26" t="s">
        <v>48</v>
      </c>
      <c r="C22" s="26" t="s">
        <v>221</v>
      </c>
      <c r="D22" s="26" t="s">
        <v>222</v>
      </c>
      <c r="E22" s="26" t="s">
        <v>217</v>
      </c>
      <c r="F22" s="26" t="s">
        <v>145</v>
      </c>
      <c r="G22" s="28"/>
      <c r="H22" s="26" t="s">
        <v>199</v>
      </c>
      <c r="I22" s="26" t="s">
        <v>218</v>
      </c>
      <c r="J22" s="30" t="s">
        <v>64</v>
      </c>
      <c r="K22" s="31">
        <v>1.0</v>
      </c>
      <c r="L22" s="27"/>
      <c r="M22" s="25"/>
    </row>
    <row r="23">
      <c r="A23" s="27"/>
      <c r="B23" s="26" t="s">
        <v>48</v>
      </c>
      <c r="C23" s="26" t="s">
        <v>225</v>
      </c>
      <c r="D23" s="26" t="s">
        <v>227</v>
      </c>
      <c r="E23" s="26" t="s">
        <v>217</v>
      </c>
      <c r="F23" s="26" t="s">
        <v>145</v>
      </c>
      <c r="G23" s="28"/>
      <c r="H23" s="26" t="s">
        <v>199</v>
      </c>
      <c r="I23" s="26" t="s">
        <v>218</v>
      </c>
      <c r="J23" s="30" t="s">
        <v>107</v>
      </c>
      <c r="K23" s="27"/>
      <c r="L23" s="27"/>
      <c r="M23" s="25"/>
    </row>
    <row r="24">
      <c r="A24" s="27"/>
      <c r="B24" s="26" t="s">
        <v>48</v>
      </c>
      <c r="C24" s="26" t="s">
        <v>236</v>
      </c>
      <c r="D24" s="26" t="s">
        <v>237</v>
      </c>
      <c r="E24" s="26" t="s">
        <v>217</v>
      </c>
      <c r="F24" s="26" t="s">
        <v>145</v>
      </c>
      <c r="G24" s="28"/>
      <c r="H24" s="26" t="s">
        <v>199</v>
      </c>
      <c r="I24" s="26" t="s">
        <v>218</v>
      </c>
      <c r="J24" s="30" t="s">
        <v>64</v>
      </c>
      <c r="K24" s="31">
        <v>1.0</v>
      </c>
      <c r="L24" s="27"/>
      <c r="M24" s="25"/>
    </row>
    <row r="25">
      <c r="A25" s="27"/>
      <c r="B25" s="26" t="s">
        <v>48</v>
      </c>
      <c r="C25" s="26" t="s">
        <v>238</v>
      </c>
      <c r="D25" s="26" t="s">
        <v>239</v>
      </c>
      <c r="E25" s="26" t="s">
        <v>217</v>
      </c>
      <c r="F25" s="26" t="s">
        <v>56</v>
      </c>
      <c r="G25" s="28"/>
      <c r="H25" s="26" t="s">
        <v>207</v>
      </c>
      <c r="I25" s="26" t="s">
        <v>240</v>
      </c>
      <c r="J25" s="30" t="s">
        <v>63</v>
      </c>
      <c r="K25" s="31">
        <v>0.8</v>
      </c>
      <c r="L25" s="27"/>
      <c r="M25" s="25"/>
    </row>
    <row r="26">
      <c r="A26" s="27"/>
      <c r="B26" s="26" t="s">
        <v>48</v>
      </c>
      <c r="C26" s="26" t="s">
        <v>241</v>
      </c>
      <c r="D26" s="26" t="s">
        <v>242</v>
      </c>
      <c r="E26" s="26" t="s">
        <v>217</v>
      </c>
      <c r="F26" s="26" t="s">
        <v>145</v>
      </c>
      <c r="G26" s="28"/>
      <c r="H26" s="26" t="s">
        <v>199</v>
      </c>
      <c r="I26" s="26" t="s">
        <v>218</v>
      </c>
      <c r="J26" s="30" t="s">
        <v>63</v>
      </c>
      <c r="K26" s="31">
        <v>0.8</v>
      </c>
      <c r="L26" s="27"/>
      <c r="M26" s="25"/>
    </row>
    <row r="27">
      <c r="A27" s="27"/>
      <c r="B27" s="26" t="s">
        <v>243</v>
      </c>
      <c r="C27" s="26" t="s">
        <v>244</v>
      </c>
      <c r="D27" s="26" t="s">
        <v>245</v>
      </c>
      <c r="E27" s="26" t="s">
        <v>217</v>
      </c>
      <c r="F27" s="26" t="s">
        <v>246</v>
      </c>
      <c r="G27" s="28"/>
      <c r="H27" s="26" t="s">
        <v>248</v>
      </c>
      <c r="I27" s="26" t="s">
        <v>199</v>
      </c>
      <c r="J27" s="30" t="s">
        <v>114</v>
      </c>
      <c r="K27" s="27"/>
      <c r="L27" s="27"/>
      <c r="M27" s="32"/>
    </row>
    <row r="28">
      <c r="A28" s="27"/>
      <c r="B28" s="26" t="s">
        <v>243</v>
      </c>
      <c r="C28" s="26" t="s">
        <v>251</v>
      </c>
      <c r="D28" s="26" t="s">
        <v>252</v>
      </c>
      <c r="E28" s="26" t="s">
        <v>217</v>
      </c>
      <c r="F28" s="26" t="s">
        <v>145</v>
      </c>
      <c r="G28" s="28"/>
      <c r="H28" s="26" t="s">
        <v>253</v>
      </c>
      <c r="I28" s="26" t="s">
        <v>199</v>
      </c>
      <c r="J28" s="30" t="s">
        <v>114</v>
      </c>
      <c r="K28" s="27"/>
      <c r="L28" s="27"/>
      <c r="M28" s="25"/>
    </row>
    <row r="29">
      <c r="A29" s="27"/>
      <c r="B29" s="26" t="s">
        <v>243</v>
      </c>
      <c r="C29" s="26" t="s">
        <v>256</v>
      </c>
      <c r="D29" s="26" t="s">
        <v>258</v>
      </c>
      <c r="E29" s="26" t="s">
        <v>259</v>
      </c>
      <c r="F29" s="26" t="s">
        <v>145</v>
      </c>
      <c r="G29" s="28"/>
      <c r="H29" s="26" t="s">
        <v>148</v>
      </c>
      <c r="I29" s="26" t="s">
        <v>148</v>
      </c>
      <c r="J29" s="30" t="s">
        <v>62</v>
      </c>
      <c r="K29" s="31">
        <v>0.2</v>
      </c>
      <c r="L29" s="27"/>
      <c r="M29" s="25"/>
    </row>
    <row r="30">
      <c r="A30" s="27"/>
      <c r="B30" s="26" t="s">
        <v>243</v>
      </c>
      <c r="C30" s="26" t="s">
        <v>133</v>
      </c>
      <c r="D30" s="26" t="s">
        <v>261</v>
      </c>
      <c r="E30" s="26" t="s">
        <v>259</v>
      </c>
      <c r="F30" s="26" t="s">
        <v>246</v>
      </c>
      <c r="G30" s="28"/>
      <c r="H30" s="26" t="s">
        <v>263</v>
      </c>
      <c r="I30" s="26" t="s">
        <v>199</v>
      </c>
      <c r="J30" s="30" t="s">
        <v>63</v>
      </c>
      <c r="K30" s="31">
        <v>0.8</v>
      </c>
      <c r="L30" s="26" t="s">
        <v>264</v>
      </c>
      <c r="M30" s="25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25"/>
    </row>
  </sheetData>
  <autoFilter ref="$A$1:$Z$1000"/>
  <dataValidations>
    <dataValidation type="list" allowBlank="1" showErrorMessage="1" sqref="J3:J7 J10:J30">
      <formula1>"Yet To Start,Delayed,In Progress,On Track,Completed"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8.88"/>
    <col customWidth="1" min="4" max="4" width="33.63"/>
    <col customWidth="1" min="10" max="10" width="15.63"/>
  </cols>
  <sheetData>
    <row r="1">
      <c r="A1" s="2" t="s">
        <v>1</v>
      </c>
      <c r="B1" s="4" t="s">
        <v>0</v>
      </c>
      <c r="C1" s="6" t="s">
        <v>2</v>
      </c>
      <c r="D1" s="8" t="s">
        <v>7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14</v>
      </c>
      <c r="J1" s="12" t="s">
        <v>16</v>
      </c>
      <c r="K1" s="14" t="s">
        <v>18</v>
      </c>
      <c r="L1" s="14" t="s">
        <v>20</v>
      </c>
      <c r="M1" s="16"/>
    </row>
    <row r="2">
      <c r="A2" s="18" t="s">
        <v>24</v>
      </c>
      <c r="B2" s="18" t="s">
        <v>24</v>
      </c>
      <c r="C2" s="20"/>
      <c r="D2" s="22"/>
      <c r="E2" s="22"/>
      <c r="F2" s="22"/>
      <c r="G2" s="23"/>
      <c r="H2" s="22"/>
      <c r="I2" s="22"/>
      <c r="J2" s="22"/>
      <c r="K2" s="22"/>
      <c r="L2" s="22"/>
      <c r="M2" s="25"/>
    </row>
    <row r="3">
      <c r="A3" s="26"/>
      <c r="B3" s="26" t="s">
        <v>40</v>
      </c>
      <c r="C3" s="27"/>
      <c r="D3" s="26" t="s">
        <v>46</v>
      </c>
      <c r="E3" s="26" t="s">
        <v>47</v>
      </c>
      <c r="F3" s="26" t="s">
        <v>50</v>
      </c>
      <c r="G3" s="28"/>
      <c r="H3" s="26" t="s">
        <v>55</v>
      </c>
      <c r="I3" s="26" t="s">
        <v>57</v>
      </c>
      <c r="J3" s="30" t="s">
        <v>62</v>
      </c>
      <c r="K3" s="31">
        <v>0.7</v>
      </c>
      <c r="L3" s="26"/>
      <c r="M3" s="32"/>
    </row>
    <row r="4">
      <c r="A4" s="26"/>
      <c r="B4" s="26" t="s">
        <v>40</v>
      </c>
      <c r="C4" s="27"/>
      <c r="D4" s="26" t="s">
        <v>78</v>
      </c>
      <c r="E4" s="26" t="s">
        <v>81</v>
      </c>
      <c r="F4" s="26" t="s">
        <v>56</v>
      </c>
      <c r="G4" s="28"/>
      <c r="H4" s="26" t="s">
        <v>37</v>
      </c>
      <c r="I4" s="26"/>
      <c r="J4" s="30" t="s">
        <v>62</v>
      </c>
      <c r="K4" s="31">
        <v>0.5</v>
      </c>
      <c r="L4" s="26"/>
      <c r="M4" s="33"/>
    </row>
    <row r="5">
      <c r="A5" s="26"/>
      <c r="B5" s="26" t="s">
        <v>84</v>
      </c>
      <c r="C5" s="27"/>
      <c r="D5" s="26" t="s">
        <v>95</v>
      </c>
      <c r="E5" s="26" t="s">
        <v>97</v>
      </c>
      <c r="F5" s="26" t="s">
        <v>50</v>
      </c>
      <c r="G5" s="28"/>
      <c r="H5" s="26" t="s">
        <v>85</v>
      </c>
      <c r="I5" s="26" t="s">
        <v>97</v>
      </c>
      <c r="J5" s="30" t="s">
        <v>63</v>
      </c>
      <c r="K5" s="31">
        <v>1.0</v>
      </c>
      <c r="L5" s="27"/>
      <c r="M5" s="25"/>
    </row>
    <row r="6">
      <c r="A6" s="26"/>
      <c r="B6" s="26" t="s">
        <v>90</v>
      </c>
      <c r="C6" s="27"/>
      <c r="D6" s="26" t="s">
        <v>106</v>
      </c>
      <c r="E6" s="26" t="s">
        <v>47</v>
      </c>
      <c r="F6" s="26" t="s">
        <v>50</v>
      </c>
      <c r="G6" s="28"/>
      <c r="H6" s="26" t="s">
        <v>55</v>
      </c>
      <c r="I6" s="26" t="s">
        <v>99</v>
      </c>
      <c r="J6" s="30" t="s">
        <v>62</v>
      </c>
      <c r="K6" s="31">
        <v>0.5</v>
      </c>
      <c r="L6" s="27"/>
      <c r="M6" s="25"/>
    </row>
    <row r="7">
      <c r="A7" s="26"/>
      <c r="B7" s="26" t="s">
        <v>112</v>
      </c>
      <c r="C7" s="27"/>
      <c r="D7" s="26" t="s">
        <v>113</v>
      </c>
      <c r="E7" s="26" t="s">
        <v>81</v>
      </c>
      <c r="F7" s="26" t="s">
        <v>50</v>
      </c>
      <c r="G7" s="28"/>
      <c r="H7" s="26" t="s">
        <v>85</v>
      </c>
      <c r="I7" s="26" t="s">
        <v>115</v>
      </c>
      <c r="J7" s="30" t="s">
        <v>107</v>
      </c>
      <c r="K7" s="31"/>
      <c r="L7" s="27"/>
      <c r="M7" s="25"/>
    </row>
    <row r="8">
      <c r="A8" s="26"/>
      <c r="B8" s="26" t="s">
        <v>109</v>
      </c>
      <c r="C8" s="27"/>
      <c r="D8" s="26" t="s">
        <v>111</v>
      </c>
      <c r="E8" s="26" t="s">
        <v>81</v>
      </c>
      <c r="F8" s="26" t="s">
        <v>56</v>
      </c>
      <c r="G8" s="28"/>
      <c r="H8" s="26" t="s">
        <v>37</v>
      </c>
      <c r="I8" s="26" t="s">
        <v>117</v>
      </c>
      <c r="J8" s="30" t="s">
        <v>107</v>
      </c>
      <c r="K8" s="31"/>
      <c r="L8" s="27"/>
      <c r="M8" s="25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25"/>
    </row>
    <row r="10">
      <c r="A10" s="18" t="s">
        <v>6</v>
      </c>
      <c r="B10" s="18" t="s">
        <v>6</v>
      </c>
      <c r="C10" s="20"/>
      <c r="D10" s="22"/>
      <c r="E10" s="22"/>
      <c r="F10" s="22"/>
      <c r="G10" s="23"/>
      <c r="H10" s="22"/>
      <c r="I10" s="22"/>
      <c r="J10" s="22"/>
      <c r="K10" s="22"/>
      <c r="L10" s="22"/>
      <c r="M10" s="25"/>
    </row>
    <row r="11">
      <c r="A11" s="27"/>
      <c r="B11" s="26" t="s">
        <v>8</v>
      </c>
      <c r="C11" s="26" t="s">
        <v>130</v>
      </c>
      <c r="D11" s="26" t="s">
        <v>132</v>
      </c>
      <c r="E11" s="26" t="s">
        <v>81</v>
      </c>
      <c r="F11" s="26" t="s">
        <v>56</v>
      </c>
      <c r="G11" s="28"/>
      <c r="H11" s="26" t="s">
        <v>121</v>
      </c>
      <c r="I11" s="26" t="s">
        <v>99</v>
      </c>
      <c r="J11" s="30" t="s">
        <v>107</v>
      </c>
      <c r="K11" s="31">
        <v>0.5</v>
      </c>
      <c r="L11" s="26"/>
      <c r="M11" s="25"/>
    </row>
    <row r="12">
      <c r="A12" s="27"/>
      <c r="B12" s="26" t="s">
        <v>31</v>
      </c>
      <c r="C12" s="26" t="s">
        <v>118</v>
      </c>
      <c r="D12" s="26" t="s">
        <v>139</v>
      </c>
      <c r="E12" s="26" t="s">
        <v>97</v>
      </c>
      <c r="F12" s="26" t="s">
        <v>50</v>
      </c>
      <c r="G12" s="28"/>
      <c r="H12" s="26" t="s">
        <v>121</v>
      </c>
      <c r="I12" s="26" t="s">
        <v>122</v>
      </c>
      <c r="J12" s="30" t="s">
        <v>64</v>
      </c>
      <c r="K12" s="31">
        <v>1.0</v>
      </c>
      <c r="L12" s="26"/>
      <c r="M12" s="25"/>
    </row>
    <row r="13">
      <c r="A13" s="27"/>
      <c r="B13" s="26" t="s">
        <v>141</v>
      </c>
      <c r="C13" s="26" t="s">
        <v>142</v>
      </c>
      <c r="D13" s="26" t="s">
        <v>151</v>
      </c>
      <c r="E13" s="26" t="s">
        <v>81</v>
      </c>
      <c r="F13" s="26" t="s">
        <v>145</v>
      </c>
      <c r="G13" s="28"/>
      <c r="H13" s="26" t="s">
        <v>148</v>
      </c>
      <c r="I13" s="26" t="s">
        <v>99</v>
      </c>
      <c r="J13" s="30" t="s">
        <v>107</v>
      </c>
      <c r="K13" s="31">
        <v>0.5</v>
      </c>
      <c r="L13" s="26"/>
      <c r="M13" s="32"/>
    </row>
    <row r="14">
      <c r="A14" s="27"/>
      <c r="B14" s="26" t="s">
        <v>34</v>
      </c>
      <c r="C14" s="26" t="s">
        <v>162</v>
      </c>
      <c r="D14" s="26" t="s">
        <v>164</v>
      </c>
      <c r="E14" s="26" t="s">
        <v>165</v>
      </c>
      <c r="F14" s="26" t="s">
        <v>50</v>
      </c>
      <c r="G14" s="28"/>
      <c r="H14" s="26" t="s">
        <v>167</v>
      </c>
      <c r="I14" s="26" t="s">
        <v>168</v>
      </c>
      <c r="J14" s="30" t="s">
        <v>62</v>
      </c>
      <c r="K14" s="31">
        <v>0.57</v>
      </c>
      <c r="L14" s="27"/>
      <c r="M14" s="25"/>
    </row>
    <row r="15">
      <c r="A15" s="27"/>
      <c r="B15" s="26" t="s">
        <v>34</v>
      </c>
      <c r="C15" s="26" t="s">
        <v>172</v>
      </c>
      <c r="D15" s="26" t="s">
        <v>176</v>
      </c>
      <c r="E15" s="26" t="s">
        <v>165</v>
      </c>
      <c r="F15" s="26" t="s">
        <v>50</v>
      </c>
      <c r="G15" s="28"/>
      <c r="H15" s="26" t="s">
        <v>167</v>
      </c>
      <c r="I15" s="26" t="s">
        <v>168</v>
      </c>
      <c r="J15" s="30" t="s">
        <v>62</v>
      </c>
      <c r="K15" s="31">
        <v>0.25</v>
      </c>
      <c r="L15" s="27"/>
      <c r="M15" s="25"/>
    </row>
    <row r="16">
      <c r="A16" s="27"/>
      <c r="B16" s="26" t="s">
        <v>182</v>
      </c>
      <c r="C16" s="26" t="s">
        <v>185</v>
      </c>
      <c r="D16" s="26" t="s">
        <v>186</v>
      </c>
      <c r="E16" s="26" t="s">
        <v>97</v>
      </c>
      <c r="F16" s="26" t="s">
        <v>50</v>
      </c>
      <c r="G16" s="28"/>
      <c r="H16" s="26" t="s">
        <v>187</v>
      </c>
      <c r="I16" s="26" t="s">
        <v>188</v>
      </c>
      <c r="J16" s="30" t="s">
        <v>62</v>
      </c>
      <c r="K16" s="31">
        <v>0.25</v>
      </c>
      <c r="L16" s="26"/>
      <c r="M16" s="32"/>
    </row>
    <row r="17">
      <c r="A17" s="27"/>
      <c r="B17" s="26" t="s">
        <v>153</v>
      </c>
      <c r="C17" s="26" t="s">
        <v>193</v>
      </c>
      <c r="D17" s="26" t="s">
        <v>195</v>
      </c>
      <c r="E17" s="26" t="s">
        <v>81</v>
      </c>
      <c r="F17" s="26" t="s">
        <v>56</v>
      </c>
      <c r="G17" s="28"/>
      <c r="H17" s="26" t="s">
        <v>157</v>
      </c>
      <c r="I17" s="26" t="s">
        <v>200</v>
      </c>
      <c r="J17" s="30" t="s">
        <v>107</v>
      </c>
      <c r="K17" s="31"/>
      <c r="L17" s="27"/>
      <c r="M17" s="33"/>
    </row>
    <row r="18">
      <c r="A18" s="27"/>
      <c r="B18" s="26" t="s">
        <v>153</v>
      </c>
      <c r="C18" s="26" t="s">
        <v>204</v>
      </c>
      <c r="D18" s="26" t="s">
        <v>205</v>
      </c>
      <c r="E18" s="26" t="s">
        <v>200</v>
      </c>
      <c r="F18" s="26" t="s">
        <v>56</v>
      </c>
      <c r="G18" s="28"/>
      <c r="H18" s="26" t="s">
        <v>157</v>
      </c>
      <c r="I18" s="26" t="s">
        <v>207</v>
      </c>
      <c r="J18" s="30" t="s">
        <v>62</v>
      </c>
      <c r="K18" s="31">
        <v>0.3</v>
      </c>
      <c r="L18" s="27"/>
      <c r="M18" s="32"/>
    </row>
    <row r="19">
      <c r="A19" s="27"/>
      <c r="B19" s="26" t="s">
        <v>153</v>
      </c>
      <c r="C19" s="26" t="s">
        <v>192</v>
      </c>
      <c r="D19" s="26" t="s">
        <v>213</v>
      </c>
      <c r="E19" s="26" t="s">
        <v>196</v>
      </c>
      <c r="F19" s="26" t="s">
        <v>56</v>
      </c>
      <c r="G19" s="28"/>
      <c r="H19" s="26" t="s">
        <v>198</v>
      </c>
      <c r="I19" s="26" t="s">
        <v>199</v>
      </c>
      <c r="J19" s="30" t="s">
        <v>62</v>
      </c>
      <c r="K19" s="31">
        <v>0.5</v>
      </c>
      <c r="L19" s="27"/>
      <c r="M19" s="25"/>
    </row>
    <row r="20">
      <c r="A20" s="27"/>
      <c r="B20" s="26" t="s">
        <v>153</v>
      </c>
      <c r="C20" s="26" t="s">
        <v>223</v>
      </c>
      <c r="D20" s="26" t="s">
        <v>224</v>
      </c>
      <c r="E20" s="26" t="s">
        <v>203</v>
      </c>
      <c r="F20" s="26" t="s">
        <v>56</v>
      </c>
      <c r="G20" s="28"/>
      <c r="H20" s="26" t="s">
        <v>198</v>
      </c>
      <c r="I20" s="26" t="s">
        <v>199</v>
      </c>
      <c r="J20" s="30" t="s">
        <v>62</v>
      </c>
      <c r="K20" s="31">
        <v>0.5</v>
      </c>
      <c r="L20" s="27"/>
      <c r="M20" s="25"/>
    </row>
    <row r="21">
      <c r="A21" s="27"/>
      <c r="B21" s="26" t="s">
        <v>226</v>
      </c>
      <c r="C21" s="26" t="s">
        <v>229</v>
      </c>
      <c r="D21" s="26" t="s">
        <v>230</v>
      </c>
      <c r="E21" s="26" t="s">
        <v>232</v>
      </c>
      <c r="F21" s="26" t="s">
        <v>56</v>
      </c>
      <c r="G21" s="28"/>
      <c r="H21" s="26" t="s">
        <v>235</v>
      </c>
      <c r="I21" s="26" t="s">
        <v>199</v>
      </c>
      <c r="J21" s="30" t="s">
        <v>62</v>
      </c>
      <c r="K21" s="31">
        <v>0.5</v>
      </c>
      <c r="L21" s="27"/>
      <c r="M21" s="32"/>
    </row>
    <row r="22">
      <c r="A22" s="27"/>
      <c r="B22" s="26" t="s">
        <v>48</v>
      </c>
      <c r="C22" s="26" t="s">
        <v>214</v>
      </c>
      <c r="D22" s="26" t="s">
        <v>215</v>
      </c>
      <c r="E22" s="26" t="s">
        <v>217</v>
      </c>
      <c r="F22" s="26" t="s">
        <v>145</v>
      </c>
      <c r="G22" s="28"/>
      <c r="H22" s="26" t="s">
        <v>199</v>
      </c>
      <c r="I22" s="26" t="s">
        <v>218</v>
      </c>
      <c r="J22" s="30" t="s">
        <v>64</v>
      </c>
      <c r="K22" s="31">
        <v>1.0</v>
      </c>
      <c r="L22" s="27"/>
      <c r="M22" s="25"/>
    </row>
    <row r="23">
      <c r="A23" s="27"/>
      <c r="B23" s="26" t="s">
        <v>48</v>
      </c>
      <c r="C23" s="26" t="s">
        <v>221</v>
      </c>
      <c r="D23" s="26" t="s">
        <v>222</v>
      </c>
      <c r="E23" s="26" t="s">
        <v>217</v>
      </c>
      <c r="F23" s="26" t="s">
        <v>145</v>
      </c>
      <c r="G23" s="28"/>
      <c r="H23" s="26" t="s">
        <v>199</v>
      </c>
      <c r="I23" s="26" t="s">
        <v>218</v>
      </c>
      <c r="J23" s="30" t="s">
        <v>62</v>
      </c>
      <c r="K23" s="31">
        <v>0.5</v>
      </c>
      <c r="L23" s="27"/>
      <c r="M23" s="25"/>
    </row>
    <row r="24">
      <c r="A24" s="27"/>
      <c r="B24" s="26" t="s">
        <v>48</v>
      </c>
      <c r="C24" s="26" t="s">
        <v>225</v>
      </c>
      <c r="D24" s="26" t="s">
        <v>227</v>
      </c>
      <c r="E24" s="26" t="s">
        <v>217</v>
      </c>
      <c r="F24" s="26" t="s">
        <v>145</v>
      </c>
      <c r="G24" s="28"/>
      <c r="H24" s="26" t="s">
        <v>199</v>
      </c>
      <c r="I24" s="26" t="s">
        <v>218</v>
      </c>
      <c r="J24" s="30" t="s">
        <v>64</v>
      </c>
      <c r="K24" s="31">
        <v>1.0</v>
      </c>
      <c r="L24" s="27"/>
      <c r="M24" s="25"/>
    </row>
    <row r="25">
      <c r="A25" s="27"/>
      <c r="B25" s="26" t="s">
        <v>247</v>
      </c>
      <c r="C25" s="26" t="s">
        <v>238</v>
      </c>
      <c r="D25" s="26" t="s">
        <v>249</v>
      </c>
      <c r="E25" s="26" t="s">
        <v>217</v>
      </c>
      <c r="F25" s="26" t="s">
        <v>56</v>
      </c>
      <c r="G25" s="28"/>
      <c r="H25" s="26" t="s">
        <v>207</v>
      </c>
      <c r="I25" s="26" t="s">
        <v>240</v>
      </c>
      <c r="J25" s="30" t="s">
        <v>64</v>
      </c>
      <c r="K25" s="31">
        <v>1.0</v>
      </c>
      <c r="L25" s="27"/>
      <c r="M25" s="25"/>
    </row>
    <row r="26">
      <c r="A26" s="27"/>
      <c r="B26" s="26" t="s">
        <v>247</v>
      </c>
      <c r="C26" s="36" t="s">
        <v>251</v>
      </c>
      <c r="D26" s="36" t="s">
        <v>252</v>
      </c>
      <c r="E26" s="26" t="s">
        <v>217</v>
      </c>
      <c r="F26" s="26" t="s">
        <v>145</v>
      </c>
      <c r="G26" s="28"/>
      <c r="H26" s="26" t="s">
        <v>253</v>
      </c>
      <c r="I26" s="26" t="s">
        <v>199</v>
      </c>
      <c r="J26" s="30" t="s">
        <v>107</v>
      </c>
      <c r="K26" s="27"/>
      <c r="L26" s="27"/>
      <c r="M26" s="25"/>
    </row>
    <row r="27">
      <c r="A27" s="27"/>
      <c r="B27" s="26" t="s">
        <v>243</v>
      </c>
      <c r="C27" s="26" t="s">
        <v>241</v>
      </c>
      <c r="D27" s="26" t="s">
        <v>242</v>
      </c>
      <c r="E27" s="26" t="s">
        <v>217</v>
      </c>
      <c r="F27" s="26" t="s">
        <v>145</v>
      </c>
      <c r="G27" s="28"/>
      <c r="H27" s="26" t="s">
        <v>199</v>
      </c>
      <c r="I27" s="26" t="s">
        <v>218</v>
      </c>
      <c r="J27" s="30" t="s">
        <v>62</v>
      </c>
      <c r="K27" s="31">
        <v>0.6</v>
      </c>
      <c r="L27" s="27"/>
      <c r="M27" s="25"/>
    </row>
    <row r="28">
      <c r="A28" s="27"/>
      <c r="B28" s="26" t="s">
        <v>243</v>
      </c>
      <c r="C28" s="26" t="s">
        <v>256</v>
      </c>
      <c r="D28" s="26" t="s">
        <v>258</v>
      </c>
      <c r="E28" s="26" t="s">
        <v>259</v>
      </c>
      <c r="F28" s="26" t="s">
        <v>145</v>
      </c>
      <c r="G28" s="28"/>
      <c r="H28" s="26" t="s">
        <v>265</v>
      </c>
      <c r="I28" s="26" t="s">
        <v>265</v>
      </c>
      <c r="J28" s="30" t="s">
        <v>62</v>
      </c>
      <c r="K28" s="31">
        <v>0.3</v>
      </c>
      <c r="L28" s="27"/>
      <c r="M28" s="25"/>
    </row>
    <row r="29">
      <c r="A29" s="27"/>
      <c r="B29" s="26" t="s">
        <v>243</v>
      </c>
      <c r="C29" s="26" t="s">
        <v>133</v>
      </c>
      <c r="D29" s="26" t="s">
        <v>261</v>
      </c>
      <c r="E29" s="26" t="s">
        <v>259</v>
      </c>
      <c r="F29" s="26" t="s">
        <v>246</v>
      </c>
      <c r="G29" s="28"/>
      <c r="H29" s="26" t="s">
        <v>263</v>
      </c>
      <c r="I29" s="26" t="s">
        <v>199</v>
      </c>
      <c r="J29" s="30" t="s">
        <v>63</v>
      </c>
      <c r="K29" s="31">
        <v>0.5</v>
      </c>
      <c r="L29" s="26"/>
      <c r="M29" s="25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25"/>
    </row>
  </sheetData>
  <dataValidations>
    <dataValidation type="list" allowBlank="1" showErrorMessage="1" sqref="J3:J8 J11:J29">
      <formula1>"Yet To Start,Delayed,In Progress,On Track,Completed"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260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>
      <c r="A2" s="40" t="s">
        <v>0</v>
      </c>
      <c r="B2" s="40" t="s">
        <v>266</v>
      </c>
      <c r="C2" s="41" t="s">
        <v>267</v>
      </c>
      <c r="D2" s="40" t="s">
        <v>268</v>
      </c>
      <c r="E2" s="40" t="s">
        <v>269</v>
      </c>
      <c r="F2" s="40" t="s">
        <v>270</v>
      </c>
      <c r="G2" s="40" t="s">
        <v>271</v>
      </c>
      <c r="H2" s="40" t="s">
        <v>272</v>
      </c>
      <c r="I2" s="40" t="s">
        <v>273</v>
      </c>
      <c r="J2" s="40" t="s">
        <v>275</v>
      </c>
      <c r="K2" s="40" t="s">
        <v>276</v>
      </c>
    </row>
    <row r="3">
      <c r="A3" s="42" t="s">
        <v>277</v>
      </c>
      <c r="B3" s="42" t="s">
        <v>278</v>
      </c>
      <c r="C3" s="43" t="s">
        <v>279</v>
      </c>
      <c r="D3" s="42" t="s">
        <v>280</v>
      </c>
      <c r="E3" s="42" t="s">
        <v>281</v>
      </c>
      <c r="F3" s="42" t="s">
        <v>165</v>
      </c>
      <c r="G3" s="42" t="s">
        <v>285</v>
      </c>
      <c r="H3" s="44"/>
      <c r="I3" s="44"/>
      <c r="J3" s="44"/>
      <c r="K3" s="45" t="str">
        <f t="shared" ref="K3:K27" si="1">IFERROR(VLOOKUP(TRIM(G3),Calc!$A$6:$B$11,2,FALSE),"")</f>
        <v/>
      </c>
    </row>
    <row r="4">
      <c r="A4" s="42" t="s">
        <v>277</v>
      </c>
      <c r="B4" s="42" t="s">
        <v>278</v>
      </c>
      <c r="C4" s="43" t="s">
        <v>289</v>
      </c>
      <c r="D4" s="42" t="s">
        <v>290</v>
      </c>
      <c r="E4" s="42" t="s">
        <v>281</v>
      </c>
      <c r="F4" s="42" t="s">
        <v>165</v>
      </c>
      <c r="G4" s="42" t="s">
        <v>285</v>
      </c>
      <c r="H4" s="44"/>
      <c r="I4" s="44"/>
      <c r="J4" s="44"/>
      <c r="K4" s="45" t="str">
        <f t="shared" si="1"/>
        <v/>
      </c>
    </row>
    <row r="5">
      <c r="A5" s="42" t="s">
        <v>277</v>
      </c>
      <c r="B5" s="42" t="s">
        <v>278</v>
      </c>
      <c r="C5" s="43" t="s">
        <v>291</v>
      </c>
      <c r="D5" s="42" t="s">
        <v>292</v>
      </c>
      <c r="E5" s="42" t="s">
        <v>281</v>
      </c>
      <c r="F5" s="42" t="s">
        <v>165</v>
      </c>
      <c r="G5" s="42" t="s">
        <v>293</v>
      </c>
      <c r="H5" s="44"/>
      <c r="I5" s="44"/>
      <c r="J5" s="44"/>
      <c r="K5" s="45" t="str">
        <f t="shared" si="1"/>
        <v/>
      </c>
    </row>
    <row r="6">
      <c r="A6" s="42" t="s">
        <v>24</v>
      </c>
      <c r="B6" s="42" t="s">
        <v>294</v>
      </c>
      <c r="C6" s="43" t="s">
        <v>295</v>
      </c>
      <c r="D6" s="42" t="s">
        <v>296</v>
      </c>
      <c r="E6" s="42" t="s">
        <v>297</v>
      </c>
      <c r="F6" s="42" t="s">
        <v>298</v>
      </c>
      <c r="G6" s="42" t="s">
        <v>293</v>
      </c>
      <c r="H6" s="44"/>
      <c r="I6" s="44"/>
      <c r="J6" s="44"/>
      <c r="K6" s="45" t="str">
        <f t="shared" si="1"/>
        <v/>
      </c>
    </row>
    <row r="7">
      <c r="A7" s="42" t="s">
        <v>24</v>
      </c>
      <c r="B7" s="42" t="s">
        <v>294</v>
      </c>
      <c r="C7" s="43" t="s">
        <v>299</v>
      </c>
      <c r="D7" s="42" t="s">
        <v>300</v>
      </c>
      <c r="E7" s="42" t="s">
        <v>56</v>
      </c>
      <c r="F7" s="42" t="s">
        <v>301</v>
      </c>
      <c r="G7" s="42" t="s">
        <v>302</v>
      </c>
      <c r="H7" s="44"/>
      <c r="I7" s="44"/>
      <c r="J7" s="44"/>
      <c r="K7" s="45" t="str">
        <f t="shared" si="1"/>
        <v/>
      </c>
    </row>
    <row r="8">
      <c r="A8" s="42" t="s">
        <v>24</v>
      </c>
      <c r="B8" s="42" t="s">
        <v>294</v>
      </c>
      <c r="C8" s="43" t="s">
        <v>303</v>
      </c>
      <c r="D8" s="42" t="s">
        <v>304</v>
      </c>
      <c r="E8" s="42" t="s">
        <v>297</v>
      </c>
      <c r="F8" s="42" t="s">
        <v>304</v>
      </c>
      <c r="G8" s="42" t="s">
        <v>305</v>
      </c>
      <c r="H8" s="44"/>
      <c r="I8" s="44"/>
      <c r="J8" s="44"/>
      <c r="K8" s="45" t="str">
        <f t="shared" si="1"/>
        <v/>
      </c>
    </row>
    <row r="9">
      <c r="A9" s="42" t="s">
        <v>24</v>
      </c>
      <c r="B9" s="42" t="s">
        <v>294</v>
      </c>
      <c r="C9" s="43" t="s">
        <v>306</v>
      </c>
      <c r="D9" s="42" t="s">
        <v>307</v>
      </c>
      <c r="E9" s="42" t="s">
        <v>56</v>
      </c>
      <c r="F9" s="42" t="s">
        <v>81</v>
      </c>
      <c r="G9" s="42" t="s">
        <v>293</v>
      </c>
      <c r="H9" s="44"/>
      <c r="I9" s="44"/>
      <c r="J9" s="44"/>
      <c r="K9" s="45" t="str">
        <f t="shared" si="1"/>
        <v/>
      </c>
    </row>
    <row r="10">
      <c r="A10" s="42" t="s">
        <v>24</v>
      </c>
      <c r="B10" s="42" t="s">
        <v>90</v>
      </c>
      <c r="C10" s="43" t="s">
        <v>308</v>
      </c>
      <c r="D10" s="42" t="s">
        <v>37</v>
      </c>
      <c r="E10" s="42" t="s">
        <v>56</v>
      </c>
      <c r="F10" s="44"/>
      <c r="G10" s="42" t="s">
        <v>64</v>
      </c>
      <c r="H10" s="44"/>
      <c r="I10" s="44"/>
      <c r="J10" s="44"/>
      <c r="K10" s="45" t="str">
        <f t="shared" si="1"/>
        <v/>
      </c>
    </row>
    <row r="11">
      <c r="A11" s="42" t="s">
        <v>24</v>
      </c>
      <c r="B11" s="42" t="s">
        <v>90</v>
      </c>
      <c r="C11" s="43" t="s">
        <v>309</v>
      </c>
      <c r="D11" s="42" t="s">
        <v>310</v>
      </c>
      <c r="E11" s="42" t="s">
        <v>311</v>
      </c>
      <c r="F11" s="42" t="s">
        <v>312</v>
      </c>
      <c r="G11" s="42" t="s">
        <v>285</v>
      </c>
      <c r="H11" s="44"/>
      <c r="I11" s="44"/>
      <c r="J11" s="44"/>
      <c r="K11" s="45" t="str">
        <f t="shared" si="1"/>
        <v/>
      </c>
    </row>
    <row r="12">
      <c r="A12" s="42" t="s">
        <v>313</v>
      </c>
      <c r="B12" s="42" t="s">
        <v>314</v>
      </c>
      <c r="C12" s="43" t="s">
        <v>315</v>
      </c>
      <c r="D12" s="42" t="s">
        <v>316</v>
      </c>
      <c r="E12" s="42" t="s">
        <v>317</v>
      </c>
      <c r="F12" s="42" t="s">
        <v>318</v>
      </c>
      <c r="G12" s="42" t="s">
        <v>64</v>
      </c>
      <c r="H12" s="44"/>
      <c r="I12" s="44"/>
      <c r="J12" s="44"/>
      <c r="K12" s="45" t="str">
        <f t="shared" si="1"/>
        <v/>
      </c>
    </row>
    <row r="13">
      <c r="A13" s="42" t="s">
        <v>313</v>
      </c>
      <c r="B13" s="42" t="s">
        <v>319</v>
      </c>
      <c r="C13" s="43" t="s">
        <v>320</v>
      </c>
      <c r="D13" s="42" t="s">
        <v>313</v>
      </c>
      <c r="E13" s="42" t="s">
        <v>317</v>
      </c>
      <c r="F13" s="42" t="s">
        <v>321</v>
      </c>
      <c r="G13" s="42" t="s">
        <v>64</v>
      </c>
      <c r="H13" s="44"/>
      <c r="I13" s="44"/>
      <c r="J13" s="44"/>
      <c r="K13" s="45" t="str">
        <f t="shared" si="1"/>
        <v/>
      </c>
    </row>
    <row r="14">
      <c r="A14" s="42" t="s">
        <v>313</v>
      </c>
      <c r="B14" s="42" t="s">
        <v>322</v>
      </c>
      <c r="C14" s="46" t="s">
        <v>323</v>
      </c>
      <c r="D14" s="42" t="s">
        <v>324</v>
      </c>
      <c r="E14" s="42" t="s">
        <v>325</v>
      </c>
      <c r="F14" s="42" t="s">
        <v>324</v>
      </c>
      <c r="G14" s="42" t="s">
        <v>64</v>
      </c>
      <c r="H14" s="44"/>
      <c r="I14" s="44"/>
      <c r="J14" s="44"/>
      <c r="K14" s="45" t="str">
        <f t="shared" si="1"/>
        <v/>
      </c>
    </row>
    <row r="15">
      <c r="A15" s="42" t="s">
        <v>326</v>
      </c>
      <c r="B15" s="42" t="s">
        <v>327</v>
      </c>
      <c r="C15" s="43" t="s">
        <v>328</v>
      </c>
      <c r="D15" s="42" t="s">
        <v>329</v>
      </c>
      <c r="E15" s="42" t="s">
        <v>281</v>
      </c>
      <c r="F15" s="42" t="s">
        <v>329</v>
      </c>
      <c r="G15" s="42" t="s">
        <v>330</v>
      </c>
      <c r="H15" s="44"/>
      <c r="I15" s="44"/>
      <c r="J15" s="44"/>
      <c r="K15" s="45" t="str">
        <f t="shared" si="1"/>
        <v/>
      </c>
    </row>
    <row r="16">
      <c r="A16" s="42" t="s">
        <v>326</v>
      </c>
      <c r="B16" s="42" t="s">
        <v>327</v>
      </c>
      <c r="C16" s="43" t="s">
        <v>331</v>
      </c>
      <c r="D16" s="42" t="s">
        <v>332</v>
      </c>
      <c r="E16" s="42" t="s">
        <v>317</v>
      </c>
      <c r="F16" s="42" t="s">
        <v>298</v>
      </c>
      <c r="G16" s="42" t="s">
        <v>293</v>
      </c>
      <c r="H16" s="44"/>
      <c r="I16" s="44"/>
      <c r="J16" s="44"/>
      <c r="K16" s="45" t="str">
        <f t="shared" si="1"/>
        <v/>
      </c>
    </row>
    <row r="17">
      <c r="A17" s="42" t="s">
        <v>326</v>
      </c>
      <c r="B17" s="42" t="s">
        <v>327</v>
      </c>
      <c r="C17" s="43" t="s">
        <v>333</v>
      </c>
      <c r="D17" s="42" t="s">
        <v>329</v>
      </c>
      <c r="E17" s="42" t="s">
        <v>56</v>
      </c>
      <c r="F17" s="42" t="s">
        <v>329</v>
      </c>
      <c r="G17" s="42" t="s">
        <v>293</v>
      </c>
      <c r="H17" s="44"/>
      <c r="I17" s="44"/>
      <c r="J17" s="44"/>
      <c r="K17" s="45" t="str">
        <f t="shared" si="1"/>
        <v/>
      </c>
    </row>
    <row r="18">
      <c r="A18" s="42" t="s">
        <v>247</v>
      </c>
      <c r="B18" s="42" t="s">
        <v>334</v>
      </c>
      <c r="C18" s="43" t="s">
        <v>335</v>
      </c>
      <c r="D18" s="42" t="s">
        <v>313</v>
      </c>
      <c r="E18" s="42" t="s">
        <v>281</v>
      </c>
      <c r="F18" s="42" t="s">
        <v>336</v>
      </c>
      <c r="G18" s="42" t="s">
        <v>64</v>
      </c>
      <c r="H18" s="44"/>
      <c r="I18" s="44"/>
      <c r="J18" s="44"/>
      <c r="K18" s="45" t="str">
        <f t="shared" si="1"/>
        <v/>
      </c>
    </row>
    <row r="19">
      <c r="A19" s="42" t="s">
        <v>247</v>
      </c>
      <c r="B19" s="42" t="s">
        <v>334</v>
      </c>
      <c r="C19" s="43" t="s">
        <v>337</v>
      </c>
      <c r="D19" s="42" t="s">
        <v>338</v>
      </c>
      <c r="E19" s="42" t="s">
        <v>281</v>
      </c>
      <c r="F19" s="42" t="s">
        <v>217</v>
      </c>
      <c r="G19" s="42" t="s">
        <v>64</v>
      </c>
      <c r="H19" s="44"/>
      <c r="I19" s="44"/>
      <c r="J19" s="44"/>
      <c r="K19" s="45" t="str">
        <f t="shared" si="1"/>
        <v/>
      </c>
    </row>
    <row r="20">
      <c r="A20" s="42" t="s">
        <v>247</v>
      </c>
      <c r="B20" s="42" t="s">
        <v>334</v>
      </c>
      <c r="C20" s="43" t="s">
        <v>339</v>
      </c>
      <c r="D20" s="42" t="s">
        <v>338</v>
      </c>
      <c r="E20" s="42" t="s">
        <v>281</v>
      </c>
      <c r="F20" s="42" t="s">
        <v>217</v>
      </c>
      <c r="G20" s="42" t="s">
        <v>64</v>
      </c>
      <c r="H20" s="44"/>
      <c r="I20" s="44"/>
      <c r="J20" s="44"/>
      <c r="K20" s="45" t="str">
        <f t="shared" si="1"/>
        <v/>
      </c>
    </row>
    <row r="21">
      <c r="A21" s="42" t="s">
        <v>8</v>
      </c>
      <c r="B21" s="42" t="s">
        <v>340</v>
      </c>
      <c r="C21" s="43" t="s">
        <v>341</v>
      </c>
      <c r="D21" s="42" t="s">
        <v>342</v>
      </c>
      <c r="E21" s="42" t="s">
        <v>56</v>
      </c>
      <c r="F21" s="42" t="s">
        <v>81</v>
      </c>
      <c r="G21" s="42" t="s">
        <v>302</v>
      </c>
      <c r="H21" s="44"/>
      <c r="I21" s="44"/>
      <c r="J21" s="44"/>
      <c r="K21" s="45" t="str">
        <f t="shared" si="1"/>
        <v/>
      </c>
    </row>
    <row r="22">
      <c r="A22" s="42" t="s">
        <v>343</v>
      </c>
      <c r="B22" s="42" t="s">
        <v>226</v>
      </c>
      <c r="C22" s="43" t="s">
        <v>344</v>
      </c>
      <c r="D22" s="42" t="s">
        <v>345</v>
      </c>
      <c r="E22" s="42" t="s">
        <v>56</v>
      </c>
      <c r="F22" s="42" t="s">
        <v>346</v>
      </c>
      <c r="G22" s="42" t="s">
        <v>302</v>
      </c>
      <c r="H22" s="44"/>
      <c r="I22" s="44"/>
      <c r="J22" s="44"/>
      <c r="K22" s="45" t="str">
        <f t="shared" si="1"/>
        <v/>
      </c>
    </row>
    <row r="23">
      <c r="A23" s="42" t="s">
        <v>347</v>
      </c>
      <c r="B23" s="42" t="s">
        <v>182</v>
      </c>
      <c r="C23" s="42" t="s">
        <v>348</v>
      </c>
      <c r="D23" s="42" t="s">
        <v>347</v>
      </c>
      <c r="E23" s="42" t="s">
        <v>349</v>
      </c>
      <c r="F23" s="42" t="s">
        <v>351</v>
      </c>
      <c r="G23" s="42" t="s">
        <v>330</v>
      </c>
      <c r="H23" s="44"/>
      <c r="I23" s="44"/>
      <c r="J23" s="44"/>
      <c r="K23" s="45" t="str">
        <f t="shared" si="1"/>
        <v/>
      </c>
    </row>
    <row r="24">
      <c r="A24" s="42" t="s">
        <v>347</v>
      </c>
      <c r="B24" s="42" t="s">
        <v>352</v>
      </c>
      <c r="C24" s="42" t="s">
        <v>353</v>
      </c>
      <c r="D24" s="42" t="s">
        <v>347</v>
      </c>
      <c r="E24" s="42" t="s">
        <v>349</v>
      </c>
      <c r="F24" s="42" t="s">
        <v>351</v>
      </c>
      <c r="G24" s="42" t="s">
        <v>285</v>
      </c>
      <c r="H24" s="44"/>
      <c r="I24" s="44"/>
      <c r="J24" s="44"/>
      <c r="K24" s="45" t="str">
        <f t="shared" si="1"/>
        <v/>
      </c>
    </row>
    <row r="25">
      <c r="A25" s="42" t="s">
        <v>347</v>
      </c>
      <c r="B25" s="42" t="s">
        <v>354</v>
      </c>
      <c r="C25" s="42" t="s">
        <v>355</v>
      </c>
      <c r="D25" s="42" t="s">
        <v>347</v>
      </c>
      <c r="E25" s="42" t="s">
        <v>349</v>
      </c>
      <c r="F25" s="42" t="s">
        <v>351</v>
      </c>
      <c r="G25" s="42" t="s">
        <v>293</v>
      </c>
      <c r="H25" s="44"/>
      <c r="I25" s="44"/>
      <c r="J25" s="44"/>
      <c r="K25" s="45" t="str">
        <f t="shared" si="1"/>
        <v/>
      </c>
    </row>
    <row r="26">
      <c r="A26" s="42" t="s">
        <v>356</v>
      </c>
      <c r="B26" s="42" t="s">
        <v>357</v>
      </c>
      <c r="C26" s="46" t="s">
        <v>358</v>
      </c>
      <c r="D26" s="42" t="s">
        <v>359</v>
      </c>
      <c r="E26" s="42" t="s">
        <v>56</v>
      </c>
      <c r="F26" s="42" t="s">
        <v>360</v>
      </c>
      <c r="G26" s="42" t="s">
        <v>64</v>
      </c>
      <c r="H26" s="44"/>
      <c r="I26" s="44"/>
      <c r="J26" s="44"/>
      <c r="K26" s="45" t="str">
        <f t="shared" si="1"/>
        <v/>
      </c>
    </row>
    <row r="27">
      <c r="A27" s="42" t="s">
        <v>356</v>
      </c>
      <c r="B27" s="42" t="s">
        <v>357</v>
      </c>
      <c r="C27" s="46" t="s">
        <v>361</v>
      </c>
      <c r="D27" s="42" t="s">
        <v>356</v>
      </c>
      <c r="E27" s="42" t="s">
        <v>56</v>
      </c>
      <c r="F27" s="42" t="s">
        <v>360</v>
      </c>
      <c r="G27" s="42" t="s">
        <v>302</v>
      </c>
      <c r="H27" s="44"/>
      <c r="I27" s="44"/>
      <c r="J27" s="44"/>
      <c r="K27" s="45" t="str">
        <f t="shared" si="1"/>
        <v/>
      </c>
    </row>
  </sheetData>
  <mergeCells count="1">
    <mergeCell ref="A1:K1"/>
  </mergeCells>
  <dataValidations>
    <dataValidation type="list" allowBlank="1" showErrorMessage="1" sqref="G3:G27">
      <formula1>"Yet to start,25% Or Less,50% Or Less,75% Or Less,Almost 100%,Completed"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8.88"/>
    <col customWidth="1" min="4" max="4" width="33.63"/>
    <col customWidth="1" min="10" max="10" width="15.63"/>
    <col customWidth="1" min="12" max="12" width="24.63"/>
    <col customWidth="1" min="13" max="13" width="3.0"/>
  </cols>
  <sheetData>
    <row r="1">
      <c r="A1" s="2" t="s">
        <v>1</v>
      </c>
      <c r="B1" s="4" t="s">
        <v>0</v>
      </c>
      <c r="C1" s="6" t="s">
        <v>2</v>
      </c>
      <c r="D1" s="8" t="s">
        <v>7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14</v>
      </c>
      <c r="J1" s="12" t="s">
        <v>16</v>
      </c>
      <c r="K1" s="14" t="s">
        <v>18</v>
      </c>
      <c r="L1" s="14" t="s">
        <v>350</v>
      </c>
      <c r="M1" s="16"/>
    </row>
    <row r="2">
      <c r="A2" s="18" t="s">
        <v>24</v>
      </c>
      <c r="B2" s="18" t="s">
        <v>24</v>
      </c>
      <c r="C2" s="20"/>
      <c r="D2" s="22"/>
      <c r="E2" s="22"/>
      <c r="F2" s="22"/>
      <c r="G2" s="23"/>
      <c r="H2" s="22"/>
      <c r="I2" s="22"/>
      <c r="J2" s="22"/>
      <c r="K2" s="22"/>
      <c r="L2" s="22"/>
      <c r="M2" s="25"/>
    </row>
    <row r="3">
      <c r="A3" s="26"/>
      <c r="B3" s="26" t="s">
        <v>40</v>
      </c>
      <c r="C3" s="27"/>
      <c r="D3" s="26" t="s">
        <v>362</v>
      </c>
      <c r="E3" s="26" t="s">
        <v>47</v>
      </c>
      <c r="F3" s="26" t="s">
        <v>50</v>
      </c>
      <c r="G3" s="28">
        <v>46252.0</v>
      </c>
      <c r="H3" s="26" t="s">
        <v>55</v>
      </c>
      <c r="I3" s="26" t="s">
        <v>57</v>
      </c>
      <c r="J3" s="30" t="s">
        <v>62</v>
      </c>
      <c r="K3" s="31"/>
      <c r="L3" s="26"/>
      <c r="M3" s="32"/>
    </row>
    <row r="4">
      <c r="A4" s="26"/>
      <c r="B4" s="26" t="s">
        <v>40</v>
      </c>
      <c r="C4" s="27"/>
      <c r="D4" s="26" t="s">
        <v>78</v>
      </c>
      <c r="E4" s="26" t="s">
        <v>81</v>
      </c>
      <c r="F4" s="26" t="s">
        <v>56</v>
      </c>
      <c r="G4" s="28">
        <v>46249.0</v>
      </c>
      <c r="H4" s="26" t="s">
        <v>363</v>
      </c>
      <c r="I4" s="26" t="s">
        <v>47</v>
      </c>
      <c r="J4" s="30" t="s">
        <v>63</v>
      </c>
      <c r="K4" s="31"/>
      <c r="L4" s="26"/>
      <c r="M4" s="33"/>
    </row>
    <row r="5">
      <c r="A5" s="26"/>
      <c r="B5" s="26" t="s">
        <v>84</v>
      </c>
      <c r="C5" s="27"/>
      <c r="D5" s="26" t="s">
        <v>95</v>
      </c>
      <c r="E5" s="26" t="s">
        <v>97</v>
      </c>
      <c r="F5" s="26" t="s">
        <v>50</v>
      </c>
      <c r="G5" s="28">
        <v>46265.0</v>
      </c>
      <c r="H5" s="26" t="s">
        <v>364</v>
      </c>
      <c r="I5" s="26" t="s">
        <v>259</v>
      </c>
      <c r="J5" s="30" t="s">
        <v>63</v>
      </c>
      <c r="K5" s="31"/>
      <c r="L5" s="27"/>
      <c r="M5" s="25"/>
    </row>
    <row r="6">
      <c r="A6" s="26"/>
      <c r="B6" s="26" t="s">
        <v>90</v>
      </c>
      <c r="C6" s="27"/>
      <c r="D6" s="26" t="s">
        <v>365</v>
      </c>
      <c r="E6" s="26" t="s">
        <v>47</v>
      </c>
      <c r="F6" s="26" t="s">
        <v>50</v>
      </c>
      <c r="G6" s="28">
        <v>46265.0</v>
      </c>
      <c r="H6" s="26" t="s">
        <v>55</v>
      </c>
      <c r="I6" s="26" t="s">
        <v>99</v>
      </c>
      <c r="J6" s="30" t="s">
        <v>62</v>
      </c>
      <c r="K6" s="31"/>
      <c r="L6" s="27"/>
      <c r="M6" s="25"/>
    </row>
    <row r="7">
      <c r="A7" s="26"/>
      <c r="B7" s="26" t="s">
        <v>366</v>
      </c>
      <c r="C7" s="27"/>
      <c r="D7" s="26" t="s">
        <v>367</v>
      </c>
      <c r="E7" s="26" t="s">
        <v>47</v>
      </c>
      <c r="F7" s="26" t="s">
        <v>50</v>
      </c>
      <c r="G7" s="28">
        <v>46265.0</v>
      </c>
      <c r="H7" s="26" t="s">
        <v>55</v>
      </c>
      <c r="I7" s="26" t="s">
        <v>57</v>
      </c>
      <c r="J7" s="30" t="s">
        <v>62</v>
      </c>
      <c r="K7" s="31"/>
      <c r="L7" s="27"/>
      <c r="M7" s="25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25"/>
    </row>
    <row r="9">
      <c r="A9" s="18" t="s">
        <v>6</v>
      </c>
      <c r="B9" s="18" t="s">
        <v>6</v>
      </c>
      <c r="C9" s="20"/>
      <c r="D9" s="22"/>
      <c r="E9" s="22"/>
      <c r="F9" s="22"/>
      <c r="G9" s="23"/>
      <c r="H9" s="22"/>
      <c r="I9" s="22"/>
      <c r="J9" s="22"/>
      <c r="K9" s="22"/>
      <c r="L9" s="22"/>
      <c r="M9" s="25"/>
    </row>
    <row r="10">
      <c r="A10" s="27"/>
      <c r="B10" s="26" t="s">
        <v>8</v>
      </c>
      <c r="C10" s="26" t="s">
        <v>130</v>
      </c>
      <c r="D10" s="26" t="s">
        <v>132</v>
      </c>
      <c r="E10" s="26" t="s">
        <v>81</v>
      </c>
      <c r="F10" s="26" t="s">
        <v>56</v>
      </c>
      <c r="G10" s="28">
        <v>46265.0</v>
      </c>
      <c r="H10" s="26" t="s">
        <v>121</v>
      </c>
      <c r="I10" s="26" t="s">
        <v>99</v>
      </c>
      <c r="J10" s="30" t="s">
        <v>114</v>
      </c>
      <c r="K10" s="31"/>
      <c r="L10" s="26"/>
      <c r="M10" s="25"/>
    </row>
    <row r="11">
      <c r="A11" s="27"/>
      <c r="B11" s="26" t="s">
        <v>31</v>
      </c>
      <c r="C11" s="26" t="s">
        <v>118</v>
      </c>
      <c r="D11" s="26" t="s">
        <v>368</v>
      </c>
      <c r="E11" s="26" t="s">
        <v>97</v>
      </c>
      <c r="F11" s="26" t="s">
        <v>50</v>
      </c>
      <c r="G11" s="28">
        <v>46265.0</v>
      </c>
      <c r="H11" s="26" t="s">
        <v>121</v>
      </c>
      <c r="I11" s="26" t="s">
        <v>369</v>
      </c>
      <c r="J11" s="30" t="s">
        <v>62</v>
      </c>
      <c r="K11" s="31"/>
      <c r="L11" s="26"/>
      <c r="M11" s="25"/>
    </row>
    <row r="12">
      <c r="A12" s="27"/>
      <c r="B12" s="26" t="s">
        <v>141</v>
      </c>
      <c r="C12" s="26" t="s">
        <v>142</v>
      </c>
      <c r="D12" s="26" t="s">
        <v>370</v>
      </c>
      <c r="E12" s="26" t="s">
        <v>371</v>
      </c>
      <c r="F12" s="26" t="s">
        <v>145</v>
      </c>
      <c r="G12" s="28">
        <v>46265.0</v>
      </c>
      <c r="H12" s="26" t="s">
        <v>148</v>
      </c>
      <c r="I12" s="26" t="s">
        <v>99</v>
      </c>
      <c r="J12" s="30" t="s">
        <v>114</v>
      </c>
      <c r="K12" s="31"/>
      <c r="L12" s="26"/>
      <c r="M12" s="32"/>
    </row>
    <row r="13">
      <c r="A13" s="27"/>
      <c r="B13" s="26" t="s">
        <v>34</v>
      </c>
      <c r="C13" s="26" t="s">
        <v>162</v>
      </c>
      <c r="D13" s="26" t="s">
        <v>372</v>
      </c>
      <c r="E13" s="26" t="s">
        <v>165</v>
      </c>
      <c r="F13" s="26" t="s">
        <v>50</v>
      </c>
      <c r="G13" s="28">
        <v>46265.0</v>
      </c>
      <c r="H13" s="26" t="s">
        <v>167</v>
      </c>
      <c r="I13" s="26" t="s">
        <v>373</v>
      </c>
      <c r="J13" s="30" t="s">
        <v>62</v>
      </c>
      <c r="K13" s="27"/>
      <c r="L13" s="27"/>
      <c r="M13" s="25"/>
    </row>
    <row r="14">
      <c r="A14" s="27"/>
      <c r="B14" s="26" t="s">
        <v>34</v>
      </c>
      <c r="C14" s="26" t="s">
        <v>172</v>
      </c>
      <c r="D14" s="26" t="s">
        <v>374</v>
      </c>
      <c r="E14" s="26" t="s">
        <v>165</v>
      </c>
      <c r="F14" s="26" t="s">
        <v>50</v>
      </c>
      <c r="G14" s="28">
        <v>46265.0</v>
      </c>
      <c r="H14" s="26" t="s">
        <v>167</v>
      </c>
      <c r="I14" s="26" t="s">
        <v>373</v>
      </c>
      <c r="J14" s="30" t="s">
        <v>62</v>
      </c>
      <c r="K14" s="27"/>
      <c r="L14" s="27"/>
      <c r="M14" s="25"/>
    </row>
    <row r="15">
      <c r="A15" s="27"/>
      <c r="B15" s="26" t="s">
        <v>182</v>
      </c>
      <c r="C15" s="26" t="s">
        <v>375</v>
      </c>
      <c r="D15" s="26" t="s">
        <v>184</v>
      </c>
      <c r="E15" s="26" t="s">
        <v>97</v>
      </c>
      <c r="F15" s="26" t="s">
        <v>50</v>
      </c>
      <c r="G15" s="28">
        <v>46265.0</v>
      </c>
      <c r="H15" s="26" t="s">
        <v>187</v>
      </c>
      <c r="I15" s="26" t="s">
        <v>188</v>
      </c>
      <c r="J15" s="30" t="s">
        <v>114</v>
      </c>
      <c r="K15" s="31"/>
      <c r="L15" s="26"/>
      <c r="M15" s="32"/>
    </row>
    <row r="16">
      <c r="A16" s="27"/>
      <c r="B16" s="26" t="s">
        <v>153</v>
      </c>
      <c r="C16" s="26" t="s">
        <v>204</v>
      </c>
      <c r="D16" s="26" t="s">
        <v>376</v>
      </c>
      <c r="E16" s="26" t="s">
        <v>200</v>
      </c>
      <c r="F16" s="26" t="s">
        <v>56</v>
      </c>
      <c r="G16" s="28">
        <v>46265.0</v>
      </c>
      <c r="H16" s="26" t="s">
        <v>157</v>
      </c>
      <c r="I16" s="26" t="s">
        <v>207</v>
      </c>
      <c r="J16" s="30" t="s">
        <v>62</v>
      </c>
      <c r="K16" s="31"/>
      <c r="L16" s="27"/>
      <c r="M16" s="32"/>
    </row>
    <row r="17">
      <c r="A17" s="27"/>
      <c r="B17" s="26" t="s">
        <v>153</v>
      </c>
      <c r="C17" s="26" t="s">
        <v>192</v>
      </c>
      <c r="D17" s="26" t="s">
        <v>213</v>
      </c>
      <c r="E17" s="26" t="s">
        <v>217</v>
      </c>
      <c r="F17" s="26" t="s">
        <v>377</v>
      </c>
      <c r="G17" s="28">
        <v>46259.0</v>
      </c>
      <c r="H17" s="26" t="s">
        <v>198</v>
      </c>
      <c r="I17" s="26" t="s">
        <v>199</v>
      </c>
      <c r="J17" s="30" t="s">
        <v>62</v>
      </c>
      <c r="K17" s="31"/>
      <c r="L17" s="27"/>
      <c r="M17" s="25"/>
    </row>
    <row r="18">
      <c r="A18" s="27"/>
      <c r="B18" s="26" t="s">
        <v>153</v>
      </c>
      <c r="C18" s="26" t="s">
        <v>378</v>
      </c>
      <c r="D18" s="26" t="s">
        <v>379</v>
      </c>
      <c r="E18" s="26" t="s">
        <v>284</v>
      </c>
      <c r="F18" s="26" t="s">
        <v>56</v>
      </c>
      <c r="G18" s="28">
        <v>46255.0</v>
      </c>
      <c r="H18" s="26" t="s">
        <v>210</v>
      </c>
      <c r="I18" s="26"/>
      <c r="J18" s="30" t="s">
        <v>62</v>
      </c>
      <c r="K18" s="27"/>
      <c r="L18" s="27"/>
      <c r="M18" s="25"/>
    </row>
    <row r="19">
      <c r="A19" s="27"/>
      <c r="B19" s="26" t="s">
        <v>153</v>
      </c>
      <c r="C19" s="26" t="s">
        <v>223</v>
      </c>
      <c r="D19" s="26" t="s">
        <v>380</v>
      </c>
      <c r="E19" s="26" t="s">
        <v>232</v>
      </c>
      <c r="F19" s="26" t="s">
        <v>56</v>
      </c>
      <c r="G19" s="28">
        <v>46255.0</v>
      </c>
      <c r="H19" s="26" t="s">
        <v>198</v>
      </c>
      <c r="I19" s="26" t="s">
        <v>199</v>
      </c>
      <c r="J19" s="30" t="s">
        <v>62</v>
      </c>
      <c r="K19" s="27"/>
      <c r="L19" s="27"/>
      <c r="M19" s="25"/>
    </row>
    <row r="20">
      <c r="A20" s="27"/>
      <c r="B20" s="26" t="s">
        <v>226</v>
      </c>
      <c r="C20" s="26" t="s">
        <v>229</v>
      </c>
      <c r="D20" s="26" t="s">
        <v>381</v>
      </c>
      <c r="E20" s="26" t="s">
        <v>346</v>
      </c>
      <c r="F20" s="26" t="s">
        <v>56</v>
      </c>
      <c r="G20" s="28">
        <v>46265.0</v>
      </c>
      <c r="H20" s="26" t="s">
        <v>235</v>
      </c>
      <c r="I20" s="26" t="s">
        <v>235</v>
      </c>
      <c r="J20" s="30" t="s">
        <v>62</v>
      </c>
      <c r="K20" s="27"/>
      <c r="L20" s="27"/>
      <c r="M20" s="32"/>
    </row>
    <row r="21">
      <c r="A21" s="27"/>
      <c r="B21" s="26" t="s">
        <v>48</v>
      </c>
      <c r="C21" s="26" t="s">
        <v>221</v>
      </c>
      <c r="D21" s="26" t="s">
        <v>222</v>
      </c>
      <c r="E21" s="26" t="s">
        <v>217</v>
      </c>
      <c r="F21" s="26" t="s">
        <v>145</v>
      </c>
      <c r="G21" s="28">
        <v>46265.0</v>
      </c>
      <c r="H21" s="26" t="s">
        <v>48</v>
      </c>
      <c r="I21" s="26" t="s">
        <v>48</v>
      </c>
      <c r="J21" s="30" t="s">
        <v>62</v>
      </c>
      <c r="K21" s="27"/>
      <c r="L21" s="27"/>
      <c r="M21" s="25"/>
    </row>
    <row r="22">
      <c r="A22" s="27"/>
      <c r="B22" s="26" t="s">
        <v>48</v>
      </c>
      <c r="C22" s="26" t="s">
        <v>225</v>
      </c>
      <c r="D22" s="26" t="s">
        <v>227</v>
      </c>
      <c r="E22" s="26" t="s">
        <v>217</v>
      </c>
      <c r="F22" s="26" t="s">
        <v>145</v>
      </c>
      <c r="G22" s="28">
        <v>46265.0</v>
      </c>
      <c r="H22" s="26" t="s">
        <v>48</v>
      </c>
      <c r="I22" s="26" t="s">
        <v>48</v>
      </c>
      <c r="J22" s="30" t="s">
        <v>62</v>
      </c>
      <c r="K22" s="27"/>
      <c r="L22" s="27"/>
      <c r="M22" s="25"/>
    </row>
    <row r="23">
      <c r="A23" s="27"/>
      <c r="B23" s="26" t="s">
        <v>247</v>
      </c>
      <c r="C23" s="26" t="s">
        <v>238</v>
      </c>
      <c r="D23" s="26" t="s">
        <v>382</v>
      </c>
      <c r="E23" s="26" t="s">
        <v>217</v>
      </c>
      <c r="F23" s="26" t="s">
        <v>56</v>
      </c>
      <c r="G23" s="28">
        <v>46255.0</v>
      </c>
      <c r="H23" s="26" t="s">
        <v>48</v>
      </c>
      <c r="I23" s="26" t="s">
        <v>199</v>
      </c>
      <c r="J23" s="30" t="s">
        <v>62</v>
      </c>
      <c r="K23" s="27"/>
      <c r="L23" s="27"/>
      <c r="M23" s="25"/>
    </row>
    <row r="24">
      <c r="A24" s="27"/>
      <c r="B24" s="26" t="s">
        <v>247</v>
      </c>
      <c r="C24" s="26" t="s">
        <v>251</v>
      </c>
      <c r="D24" s="26" t="s">
        <v>252</v>
      </c>
      <c r="E24" s="26" t="s">
        <v>217</v>
      </c>
      <c r="F24" s="26" t="s">
        <v>145</v>
      </c>
      <c r="G24" s="28">
        <v>46265.0</v>
      </c>
      <c r="H24" s="26" t="s">
        <v>253</v>
      </c>
      <c r="I24" s="26" t="s">
        <v>199</v>
      </c>
      <c r="J24" s="30" t="s">
        <v>114</v>
      </c>
      <c r="K24" s="27"/>
      <c r="L24" s="27"/>
      <c r="M24" s="25"/>
    </row>
    <row r="25">
      <c r="A25" s="27"/>
      <c r="B25" s="26" t="s">
        <v>243</v>
      </c>
      <c r="C25" s="26" t="s">
        <v>241</v>
      </c>
      <c r="D25" s="26" t="s">
        <v>383</v>
      </c>
      <c r="E25" s="26" t="s">
        <v>217</v>
      </c>
      <c r="F25" s="26" t="s">
        <v>145</v>
      </c>
      <c r="G25" s="28">
        <v>46265.0</v>
      </c>
      <c r="H25" s="26" t="s">
        <v>199</v>
      </c>
      <c r="I25" s="26" t="s">
        <v>218</v>
      </c>
      <c r="J25" s="30" t="s">
        <v>62</v>
      </c>
      <c r="K25" s="27"/>
      <c r="L25" s="27"/>
      <c r="M25" s="25"/>
    </row>
    <row r="26">
      <c r="A26" s="27"/>
      <c r="B26" s="26" t="s">
        <v>243</v>
      </c>
      <c r="C26" s="26" t="s">
        <v>384</v>
      </c>
      <c r="D26" s="26" t="s">
        <v>385</v>
      </c>
      <c r="E26" s="26" t="s">
        <v>284</v>
      </c>
      <c r="F26" s="26" t="s">
        <v>56</v>
      </c>
      <c r="G26" s="28">
        <v>46265.0</v>
      </c>
      <c r="H26" s="26" t="s">
        <v>210</v>
      </c>
      <c r="I26" s="26" t="s">
        <v>210</v>
      </c>
      <c r="J26" s="30" t="s">
        <v>62</v>
      </c>
      <c r="K26" s="27"/>
      <c r="L26" s="27"/>
      <c r="M26" s="33"/>
    </row>
    <row r="27">
      <c r="A27" s="27"/>
      <c r="B27" s="26" t="s">
        <v>243</v>
      </c>
      <c r="C27" s="26" t="s">
        <v>386</v>
      </c>
      <c r="D27" s="26" t="s">
        <v>258</v>
      </c>
      <c r="E27" s="26" t="s">
        <v>387</v>
      </c>
      <c r="F27" s="26" t="s">
        <v>388</v>
      </c>
      <c r="G27" s="28">
        <v>46265.0</v>
      </c>
      <c r="H27" s="26" t="s">
        <v>265</v>
      </c>
      <c r="I27" s="26" t="s">
        <v>265</v>
      </c>
      <c r="J27" s="30" t="s">
        <v>62</v>
      </c>
      <c r="K27" s="31"/>
      <c r="L27" s="27"/>
      <c r="M27" s="25"/>
    </row>
    <row r="28">
      <c r="A28" s="27"/>
      <c r="B28" s="26" t="s">
        <v>243</v>
      </c>
      <c r="C28" s="26" t="s">
        <v>133</v>
      </c>
      <c r="D28" s="26" t="s">
        <v>261</v>
      </c>
      <c r="E28" s="26" t="s">
        <v>259</v>
      </c>
      <c r="F28" s="26" t="s">
        <v>246</v>
      </c>
      <c r="G28" s="28">
        <v>46265.0</v>
      </c>
      <c r="H28" s="26" t="s">
        <v>263</v>
      </c>
      <c r="I28" s="26" t="s">
        <v>199</v>
      </c>
      <c r="J28" s="30" t="s">
        <v>62</v>
      </c>
      <c r="K28" s="31"/>
      <c r="L28" s="26"/>
      <c r="M28" s="25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25"/>
    </row>
  </sheetData>
  <dataValidations>
    <dataValidation type="list" allowBlank="1" showErrorMessage="1" sqref="J3:J7 J10:J28">
      <formula1>"Yet To Start,Delayed,In Progress,On Track,Completed"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88"/>
    <col customWidth="1" min="2" max="2" width="28.88"/>
    <col customWidth="1" min="3" max="4" width="16.38"/>
    <col customWidth="1" min="5" max="5" width="34.13"/>
    <col customWidth="1" min="6" max="6" width="32.63"/>
    <col customWidth="1" min="7" max="7" width="31.88"/>
    <col customWidth="1" min="8" max="12" width="23.25"/>
  </cols>
  <sheetData>
    <row r="1">
      <c r="A1" s="47" t="s">
        <v>389</v>
      </c>
    </row>
    <row r="2">
      <c r="A2" s="48" t="s">
        <v>390</v>
      </c>
    </row>
    <row r="3">
      <c r="A3" s="49" t="s">
        <v>5</v>
      </c>
      <c r="B3" s="49" t="s">
        <v>5</v>
      </c>
      <c r="C3" s="49" t="s">
        <v>5</v>
      </c>
      <c r="D3" s="49" t="s">
        <v>5</v>
      </c>
      <c r="E3" s="49" t="s">
        <v>5</v>
      </c>
      <c r="F3" s="49" t="s">
        <v>5</v>
      </c>
      <c r="G3" s="49" t="s">
        <v>5</v>
      </c>
      <c r="H3" s="49" t="s">
        <v>5</v>
      </c>
      <c r="I3" s="49" t="s">
        <v>5</v>
      </c>
      <c r="J3" s="49" t="s">
        <v>5</v>
      </c>
      <c r="K3" s="49" t="s">
        <v>5</v>
      </c>
      <c r="L3" s="49" t="s">
        <v>5</v>
      </c>
    </row>
    <row r="4">
      <c r="A4" s="50" t="s">
        <v>391</v>
      </c>
      <c r="B4" s="50" t="s">
        <v>393</v>
      </c>
      <c r="C4" s="50" t="s">
        <v>270</v>
      </c>
      <c r="D4" s="50" t="s">
        <v>394</v>
      </c>
      <c r="E4" s="50" t="s">
        <v>395</v>
      </c>
      <c r="F4" s="50" t="s">
        <v>396</v>
      </c>
      <c r="G4" s="50" t="s">
        <v>397</v>
      </c>
      <c r="H4" s="50" t="s">
        <v>398</v>
      </c>
      <c r="I4" s="50" t="s">
        <v>399</v>
      </c>
      <c r="J4" s="50" t="s">
        <v>400</v>
      </c>
      <c r="K4" s="50" t="s">
        <v>401</v>
      </c>
      <c r="L4" s="50" t="s">
        <v>402</v>
      </c>
    </row>
    <row r="5">
      <c r="A5" s="52" t="s">
        <v>403</v>
      </c>
    </row>
    <row r="6">
      <c r="A6" s="54" t="s">
        <v>405</v>
      </c>
      <c r="B6" s="54" t="s">
        <v>406</v>
      </c>
      <c r="C6" s="54" t="s">
        <v>313</v>
      </c>
      <c r="D6" s="54" t="s">
        <v>407</v>
      </c>
      <c r="E6" s="54" t="s">
        <v>409</v>
      </c>
      <c r="F6" s="54" t="s">
        <v>411</v>
      </c>
      <c r="G6" s="54" t="s">
        <v>412</v>
      </c>
      <c r="H6" s="54" t="s">
        <v>5</v>
      </c>
      <c r="I6" s="54" t="s">
        <v>414</v>
      </c>
      <c r="J6" s="54" t="s">
        <v>414</v>
      </c>
      <c r="K6" s="54" t="s">
        <v>414</v>
      </c>
      <c r="L6" s="54" t="s">
        <v>414</v>
      </c>
    </row>
    <row r="7">
      <c r="A7" s="52" t="s">
        <v>415</v>
      </c>
    </row>
    <row r="8">
      <c r="A8" s="54" t="s">
        <v>419</v>
      </c>
      <c r="B8" s="54" t="s">
        <v>421</v>
      </c>
      <c r="C8" s="54" t="s">
        <v>81</v>
      </c>
      <c r="D8" s="54" t="s">
        <v>423</v>
      </c>
      <c r="E8" s="54" t="s">
        <v>424</v>
      </c>
      <c r="F8" s="54" t="s">
        <v>425</v>
      </c>
      <c r="G8" s="54" t="s">
        <v>426</v>
      </c>
      <c r="H8" s="54" t="s">
        <v>428</v>
      </c>
      <c r="I8" s="54" t="s">
        <v>429</v>
      </c>
      <c r="J8" s="54" t="s">
        <v>430</v>
      </c>
      <c r="K8" s="54" t="s">
        <v>414</v>
      </c>
      <c r="L8" s="54" t="s">
        <v>414</v>
      </c>
    </row>
    <row r="9">
      <c r="A9" s="54" t="s">
        <v>31</v>
      </c>
      <c r="B9" s="54" t="s">
        <v>432</v>
      </c>
      <c r="C9" s="54" t="s">
        <v>97</v>
      </c>
      <c r="D9" s="54" t="s">
        <v>423</v>
      </c>
      <c r="E9" s="54" t="s">
        <v>435</v>
      </c>
      <c r="F9" s="54" t="s">
        <v>436</v>
      </c>
      <c r="G9" s="54" t="s">
        <v>437</v>
      </c>
      <c r="H9" s="54" t="s">
        <v>439</v>
      </c>
      <c r="I9" s="54" t="s">
        <v>414</v>
      </c>
      <c r="J9" s="54" t="s">
        <v>414</v>
      </c>
      <c r="K9" s="54" t="s">
        <v>414</v>
      </c>
      <c r="L9" s="54" t="s">
        <v>414</v>
      </c>
    </row>
    <row r="10">
      <c r="A10" s="54" t="s">
        <v>34</v>
      </c>
      <c r="B10" s="54" t="s">
        <v>441</v>
      </c>
      <c r="C10" s="54" t="s">
        <v>165</v>
      </c>
      <c r="D10" s="54" t="s">
        <v>423</v>
      </c>
      <c r="E10" s="54" t="s">
        <v>443</v>
      </c>
      <c r="F10" s="54" t="s">
        <v>444</v>
      </c>
      <c r="G10" s="54" t="s">
        <v>446</v>
      </c>
      <c r="H10" s="54" t="s">
        <v>447</v>
      </c>
      <c r="I10" s="54" t="s">
        <v>414</v>
      </c>
      <c r="J10" s="54" t="s">
        <v>414</v>
      </c>
      <c r="K10" s="54" t="s">
        <v>414</v>
      </c>
      <c r="L10" s="54" t="s">
        <v>414</v>
      </c>
    </row>
    <row r="11">
      <c r="A11" s="54" t="s">
        <v>449</v>
      </c>
      <c r="B11" s="54" t="s">
        <v>450</v>
      </c>
      <c r="C11" s="54" t="s">
        <v>81</v>
      </c>
      <c r="D11" s="54" t="s">
        <v>452</v>
      </c>
      <c r="E11" s="54" t="s">
        <v>453</v>
      </c>
      <c r="F11" s="54" t="s">
        <v>454</v>
      </c>
      <c r="G11" s="54" t="s">
        <v>456</v>
      </c>
      <c r="H11" s="54" t="s">
        <v>414</v>
      </c>
      <c r="I11" s="54" t="s">
        <v>414</v>
      </c>
      <c r="J11" s="54" t="s">
        <v>414</v>
      </c>
      <c r="K11" s="54" t="s">
        <v>414</v>
      </c>
      <c r="L11" s="54" t="s">
        <v>414</v>
      </c>
    </row>
    <row r="12">
      <c r="A12" s="52" t="s">
        <v>458</v>
      </c>
    </row>
    <row r="13">
      <c r="A13" s="54" t="s">
        <v>463</v>
      </c>
      <c r="B13" s="54" t="s">
        <v>465</v>
      </c>
      <c r="C13" s="54" t="s">
        <v>467</v>
      </c>
      <c r="D13" s="54" t="s">
        <v>468</v>
      </c>
      <c r="E13" s="54" t="s">
        <v>471</v>
      </c>
      <c r="F13" s="54" t="s">
        <v>475</v>
      </c>
      <c r="G13" s="54" t="s">
        <v>477</v>
      </c>
      <c r="H13" s="54" t="s">
        <v>414</v>
      </c>
      <c r="I13" s="54" t="s">
        <v>414</v>
      </c>
      <c r="J13" s="54" t="s">
        <v>414</v>
      </c>
      <c r="K13" s="54" t="s">
        <v>414</v>
      </c>
      <c r="L13" s="54" t="s">
        <v>414</v>
      </c>
    </row>
    <row r="14">
      <c r="A14" s="54" t="s">
        <v>470</v>
      </c>
      <c r="B14" s="54" t="s">
        <v>482</v>
      </c>
      <c r="C14" s="54" t="s">
        <v>483</v>
      </c>
      <c r="D14" s="54" t="s">
        <v>485</v>
      </c>
      <c r="E14" s="54" t="s">
        <v>486</v>
      </c>
      <c r="F14" s="54" t="s">
        <v>487</v>
      </c>
      <c r="G14" s="54" t="s">
        <v>489</v>
      </c>
      <c r="H14" s="54" t="s">
        <v>414</v>
      </c>
      <c r="I14" s="54" t="s">
        <v>414</v>
      </c>
      <c r="J14" s="54" t="s">
        <v>414</v>
      </c>
      <c r="K14" s="54" t="s">
        <v>414</v>
      </c>
      <c r="L14" s="54" t="s">
        <v>414</v>
      </c>
    </row>
    <row r="15">
      <c r="A15" s="54" t="s">
        <v>491</v>
      </c>
      <c r="B15" s="54" t="s">
        <v>492</v>
      </c>
      <c r="C15" s="54" t="s">
        <v>494</v>
      </c>
      <c r="D15" s="54" t="s">
        <v>496</v>
      </c>
      <c r="E15" s="54" t="s">
        <v>497</v>
      </c>
      <c r="F15" s="54" t="s">
        <v>498</v>
      </c>
      <c r="G15" s="54" t="s">
        <v>500</v>
      </c>
      <c r="H15" s="54" t="s">
        <v>414</v>
      </c>
      <c r="I15" s="54" t="s">
        <v>414</v>
      </c>
      <c r="J15" s="54" t="s">
        <v>414</v>
      </c>
      <c r="K15" s="54" t="s">
        <v>414</v>
      </c>
      <c r="L15" s="54" t="s">
        <v>503</v>
      </c>
    </row>
    <row r="16">
      <c r="A16" s="54" t="s">
        <v>504</v>
      </c>
      <c r="B16" s="54" t="s">
        <v>506</v>
      </c>
      <c r="C16" s="54" t="s">
        <v>507</v>
      </c>
      <c r="D16" s="54" t="s">
        <v>509</v>
      </c>
      <c r="E16" s="54" t="s">
        <v>510</v>
      </c>
      <c r="F16" s="54" t="s">
        <v>511</v>
      </c>
      <c r="G16" s="54" t="s">
        <v>512</v>
      </c>
      <c r="H16" s="54" t="s">
        <v>514</v>
      </c>
      <c r="I16" s="54" t="s">
        <v>515</v>
      </c>
      <c r="J16" s="54" t="s">
        <v>516</v>
      </c>
      <c r="K16" s="54" t="s">
        <v>414</v>
      </c>
      <c r="L16" s="54" t="s">
        <v>517</v>
      </c>
    </row>
    <row r="17">
      <c r="A17" s="54" t="s">
        <v>519</v>
      </c>
      <c r="B17" s="54" t="s">
        <v>521</v>
      </c>
      <c r="C17" s="54" t="s">
        <v>522</v>
      </c>
      <c r="D17" s="54" t="s">
        <v>523</v>
      </c>
      <c r="E17" s="54" t="s">
        <v>525</v>
      </c>
      <c r="F17" s="54" t="s">
        <v>527</v>
      </c>
      <c r="G17" s="54" t="s">
        <v>528</v>
      </c>
      <c r="H17" s="54" t="s">
        <v>414</v>
      </c>
      <c r="I17" s="54" t="s">
        <v>414</v>
      </c>
      <c r="J17" s="54" t="s">
        <v>414</v>
      </c>
      <c r="K17" s="54" t="s">
        <v>414</v>
      </c>
      <c r="L17" s="54" t="s">
        <v>531</v>
      </c>
    </row>
    <row r="18">
      <c r="A18" s="54" t="s">
        <v>533</v>
      </c>
      <c r="B18" s="54" t="s">
        <v>534</v>
      </c>
      <c r="C18" s="54" t="s">
        <v>535</v>
      </c>
      <c r="D18" s="54" t="s">
        <v>536</v>
      </c>
      <c r="E18" s="54" t="s">
        <v>538</v>
      </c>
      <c r="F18" s="54" t="s">
        <v>539</v>
      </c>
      <c r="G18" s="54" t="s">
        <v>540</v>
      </c>
      <c r="H18" s="54" t="s">
        <v>542</v>
      </c>
      <c r="I18" s="54" t="s">
        <v>414</v>
      </c>
      <c r="J18" s="54" t="s">
        <v>414</v>
      </c>
      <c r="K18" s="54" t="s">
        <v>414</v>
      </c>
      <c r="L18" s="54" t="s">
        <v>414</v>
      </c>
    </row>
    <row r="19">
      <c r="A19" s="54" t="s">
        <v>545</v>
      </c>
      <c r="B19" s="54" t="s">
        <v>546</v>
      </c>
      <c r="C19" s="54" t="s">
        <v>548</v>
      </c>
      <c r="D19" s="54" t="s">
        <v>549</v>
      </c>
      <c r="E19" s="54" t="s">
        <v>5</v>
      </c>
      <c r="F19" s="54" t="s">
        <v>551</v>
      </c>
      <c r="G19" s="54" t="s">
        <v>553</v>
      </c>
      <c r="H19" s="54" t="s">
        <v>554</v>
      </c>
      <c r="I19" s="54" t="s">
        <v>556</v>
      </c>
      <c r="J19" s="54" t="s">
        <v>557</v>
      </c>
      <c r="K19" s="54" t="s">
        <v>414</v>
      </c>
      <c r="L19" s="54" t="s">
        <v>559</v>
      </c>
    </row>
    <row r="20">
      <c r="A20" s="52" t="s">
        <v>560</v>
      </c>
    </row>
    <row r="21">
      <c r="A21" s="54" t="s">
        <v>565</v>
      </c>
      <c r="B21" s="54" t="s">
        <v>566</v>
      </c>
      <c r="C21" s="54" t="s">
        <v>567</v>
      </c>
      <c r="D21" s="54" t="s">
        <v>569</v>
      </c>
      <c r="E21" s="54" t="s">
        <v>570</v>
      </c>
      <c r="F21" s="54" t="s">
        <v>571</v>
      </c>
      <c r="G21" s="54" t="s">
        <v>573</v>
      </c>
      <c r="H21" s="54" t="s">
        <v>574</v>
      </c>
      <c r="I21" s="54" t="s">
        <v>414</v>
      </c>
      <c r="J21" s="54" t="s">
        <v>414</v>
      </c>
      <c r="K21" s="54" t="s">
        <v>576</v>
      </c>
      <c r="L21" s="54" t="s">
        <v>414</v>
      </c>
    </row>
    <row r="22">
      <c r="A22" s="54" t="s">
        <v>577</v>
      </c>
      <c r="B22" s="54" t="s">
        <v>578</v>
      </c>
      <c r="C22" s="54" t="s">
        <v>567</v>
      </c>
      <c r="D22" s="54" t="s">
        <v>423</v>
      </c>
      <c r="E22" s="54" t="s">
        <v>580</v>
      </c>
      <c r="F22" s="54" t="s">
        <v>581</v>
      </c>
      <c r="G22" s="54" t="s">
        <v>582</v>
      </c>
      <c r="H22" s="54" t="s">
        <v>584</v>
      </c>
      <c r="I22" s="54" t="s">
        <v>585</v>
      </c>
      <c r="J22" s="54" t="s">
        <v>414</v>
      </c>
      <c r="K22" s="54" t="s">
        <v>587</v>
      </c>
      <c r="L22" s="54" t="s">
        <v>414</v>
      </c>
    </row>
    <row r="23">
      <c r="A23" s="54" t="s">
        <v>588</v>
      </c>
      <c r="B23" s="54" t="s">
        <v>589</v>
      </c>
      <c r="C23" s="54" t="s">
        <v>590</v>
      </c>
      <c r="D23" s="54" t="s">
        <v>601</v>
      </c>
      <c r="E23" s="54" t="s">
        <v>603</v>
      </c>
      <c r="F23" s="54" t="s">
        <v>605</v>
      </c>
      <c r="G23" s="54" t="s">
        <v>414</v>
      </c>
      <c r="H23" s="54" t="s">
        <v>414</v>
      </c>
      <c r="I23" s="54" t="s">
        <v>414</v>
      </c>
      <c r="J23" s="54" t="s">
        <v>414</v>
      </c>
      <c r="K23" s="54" t="s">
        <v>610</v>
      </c>
      <c r="L23" s="54" t="s">
        <v>612</v>
      </c>
    </row>
    <row r="24">
      <c r="A24" s="52" t="s">
        <v>613</v>
      </c>
    </row>
    <row r="25">
      <c r="A25" s="54" t="s">
        <v>617</v>
      </c>
      <c r="B25" s="54" t="s">
        <v>619</v>
      </c>
      <c r="C25" s="54" t="s">
        <v>620</v>
      </c>
      <c r="D25" s="54" t="s">
        <v>621</v>
      </c>
      <c r="E25" s="54" t="s">
        <v>623</v>
      </c>
      <c r="F25" s="54" t="s">
        <v>625</v>
      </c>
      <c r="G25" s="54" t="s">
        <v>626</v>
      </c>
      <c r="H25" s="54" t="s">
        <v>628</v>
      </c>
      <c r="I25" s="54" t="s">
        <v>414</v>
      </c>
      <c r="J25" s="54" t="s">
        <v>414</v>
      </c>
      <c r="K25" s="54" t="s">
        <v>414</v>
      </c>
      <c r="L25" s="54" t="s">
        <v>631</v>
      </c>
    </row>
    <row r="26">
      <c r="A26" s="54" t="s">
        <v>632</v>
      </c>
      <c r="B26" s="54" t="s">
        <v>633</v>
      </c>
      <c r="C26" s="54" t="s">
        <v>634</v>
      </c>
      <c r="D26" s="54" t="s">
        <v>423</v>
      </c>
      <c r="E26" s="54" t="s">
        <v>635</v>
      </c>
      <c r="F26" s="54" t="s">
        <v>637</v>
      </c>
      <c r="G26" s="54" t="s">
        <v>638</v>
      </c>
      <c r="H26" s="54" t="s">
        <v>414</v>
      </c>
      <c r="I26" s="54" t="s">
        <v>414</v>
      </c>
      <c r="J26" s="54" t="s">
        <v>414</v>
      </c>
      <c r="K26" s="54" t="s">
        <v>414</v>
      </c>
      <c r="L26" s="54" t="s">
        <v>640</v>
      </c>
    </row>
    <row r="27">
      <c r="A27" s="54" t="s">
        <v>5</v>
      </c>
      <c r="B27" s="54" t="s">
        <v>5</v>
      </c>
      <c r="C27" s="54" t="s">
        <v>5</v>
      </c>
      <c r="D27" s="54" t="s">
        <v>5</v>
      </c>
      <c r="E27" s="54" t="s">
        <v>5</v>
      </c>
      <c r="F27" s="54" t="s">
        <v>5</v>
      </c>
      <c r="G27" s="54" t="s">
        <v>5</v>
      </c>
      <c r="H27" s="54" t="s">
        <v>5</v>
      </c>
      <c r="I27" s="54" t="s">
        <v>5</v>
      </c>
      <c r="J27" s="54" t="s">
        <v>5</v>
      </c>
      <c r="K27" s="54" t="s">
        <v>5</v>
      </c>
      <c r="L27" s="54" t="s">
        <v>5</v>
      </c>
    </row>
    <row r="28">
      <c r="A28" s="55" t="s">
        <v>645</v>
      </c>
    </row>
    <row r="29">
      <c r="A29" s="56" t="s">
        <v>647</v>
      </c>
    </row>
    <row r="30">
      <c r="A30" s="56" t="s">
        <v>649</v>
      </c>
    </row>
    <row r="31">
      <c r="A31" s="56" t="s">
        <v>652</v>
      </c>
    </row>
    <row r="32">
      <c r="A32" s="56" t="s">
        <v>655</v>
      </c>
    </row>
    <row r="33">
      <c r="A33" s="56" t="s">
        <v>658</v>
      </c>
    </row>
    <row r="34">
      <c r="A34" s="56" t="s">
        <v>659</v>
      </c>
    </row>
    <row r="35">
      <c r="A35" s="56" t="s">
        <v>660</v>
      </c>
    </row>
    <row r="36">
      <c r="A36" s="56" t="s">
        <v>661</v>
      </c>
    </row>
    <row r="38">
      <c r="A38" s="55" t="s">
        <v>662</v>
      </c>
    </row>
    <row r="39">
      <c r="A39" s="57" t="s">
        <v>663</v>
      </c>
      <c r="B39" s="57" t="s">
        <v>664</v>
      </c>
      <c r="C39" s="57" t="s">
        <v>665</v>
      </c>
      <c r="D39" s="57" t="s">
        <v>666</v>
      </c>
    </row>
    <row r="40">
      <c r="A40" s="54" t="s">
        <v>667</v>
      </c>
      <c r="B40" s="54" t="s">
        <v>56</v>
      </c>
      <c r="C40" s="54" t="s">
        <v>396</v>
      </c>
      <c r="D40" s="54" t="s">
        <v>668</v>
      </c>
    </row>
    <row r="41">
      <c r="A41" s="54" t="s">
        <v>669</v>
      </c>
      <c r="B41" s="54" t="s">
        <v>56</v>
      </c>
      <c r="C41" s="54" t="s">
        <v>670</v>
      </c>
      <c r="D41" s="54" t="s">
        <v>671</v>
      </c>
    </row>
    <row r="42">
      <c r="A42" s="54" t="s">
        <v>672</v>
      </c>
      <c r="B42" s="54" t="s">
        <v>673</v>
      </c>
      <c r="C42" s="54" t="s">
        <v>674</v>
      </c>
      <c r="D42" s="54" t="s">
        <v>675</v>
      </c>
    </row>
    <row r="43">
      <c r="A43" s="54" t="s">
        <v>676</v>
      </c>
      <c r="B43" s="54" t="s">
        <v>548</v>
      </c>
      <c r="C43" s="54" t="s">
        <v>399</v>
      </c>
      <c r="D43" s="54" t="s">
        <v>677</v>
      </c>
    </row>
    <row r="44">
      <c r="A44" s="54" t="s">
        <v>678</v>
      </c>
      <c r="B44" s="54" t="s">
        <v>56</v>
      </c>
      <c r="C44" s="54" t="s">
        <v>396</v>
      </c>
      <c r="D44" s="54" t="s">
        <v>679</v>
      </c>
    </row>
    <row r="45">
      <c r="A45" s="54" t="s">
        <v>680</v>
      </c>
      <c r="B45" s="54" t="s">
        <v>346</v>
      </c>
      <c r="C45" s="54" t="s">
        <v>397</v>
      </c>
      <c r="D45" s="54" t="s">
        <v>681</v>
      </c>
    </row>
    <row r="46">
      <c r="A46" s="54" t="s">
        <v>682</v>
      </c>
      <c r="B46" s="54" t="s">
        <v>548</v>
      </c>
      <c r="C46" s="54" t="s">
        <v>398</v>
      </c>
      <c r="D46" s="54" t="s">
        <v>683</v>
      </c>
    </row>
    <row r="47">
      <c r="A47" s="54" t="s">
        <v>684</v>
      </c>
      <c r="B47" s="54" t="s">
        <v>685</v>
      </c>
      <c r="C47" s="54" t="s">
        <v>686</v>
      </c>
      <c r="D47" s="54" t="s">
        <v>687</v>
      </c>
    </row>
    <row r="48">
      <c r="A48" s="54" t="s">
        <v>688</v>
      </c>
      <c r="B48" s="54" t="s">
        <v>81</v>
      </c>
      <c r="C48" s="54" t="s">
        <v>396</v>
      </c>
      <c r="D48" s="54" t="s">
        <v>689</v>
      </c>
    </row>
    <row r="49">
      <c r="A49" s="54" t="s">
        <v>690</v>
      </c>
      <c r="B49" s="54" t="s">
        <v>691</v>
      </c>
      <c r="C49" s="54" t="s">
        <v>397</v>
      </c>
      <c r="D49" s="54" t="s">
        <v>692</v>
      </c>
    </row>
    <row r="50">
      <c r="A50" s="54" t="s">
        <v>693</v>
      </c>
      <c r="B50" s="54" t="s">
        <v>56</v>
      </c>
      <c r="C50" s="54" t="s">
        <v>110</v>
      </c>
      <c r="D50" s="54" t="s">
        <v>694</v>
      </c>
    </row>
    <row r="51">
      <c r="A51" s="58"/>
      <c r="B51" s="58"/>
      <c r="C51" s="58"/>
      <c r="D51" s="58"/>
    </row>
  </sheetData>
  <mergeCells count="17">
    <mergeCell ref="A1:L1"/>
    <mergeCell ref="A2:L2"/>
    <mergeCell ref="A5:L5"/>
    <mergeCell ref="A7:L7"/>
    <mergeCell ref="A12:L12"/>
    <mergeCell ref="A20:L20"/>
    <mergeCell ref="A24:L24"/>
    <mergeCell ref="A35:L35"/>
    <mergeCell ref="A36:L36"/>
    <mergeCell ref="A38:L38"/>
    <mergeCell ref="A28:L28"/>
    <mergeCell ref="A29:L29"/>
    <mergeCell ref="A30:L30"/>
    <mergeCell ref="A31:L31"/>
    <mergeCell ref="A32:L32"/>
    <mergeCell ref="A33:L33"/>
    <mergeCell ref="A34:L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2" max="2" width="12.0"/>
    <col customWidth="1" min="3" max="3" width="42.63"/>
    <col customWidth="1" min="4" max="4" width="20.13"/>
    <col customWidth="1" min="5" max="5" width="12.0"/>
    <col customWidth="1" min="6" max="6" width="13.25"/>
    <col customWidth="1" min="7" max="7" width="26.38"/>
    <col customWidth="1" min="8" max="8" width="35.13"/>
  </cols>
  <sheetData>
    <row r="1">
      <c r="A1" s="51" t="s">
        <v>392</v>
      </c>
    </row>
    <row r="2">
      <c r="A2" s="53" t="s">
        <v>404</v>
      </c>
      <c r="B2" s="53" t="s">
        <v>0</v>
      </c>
      <c r="C2" s="53" t="s">
        <v>7</v>
      </c>
      <c r="D2" s="53" t="s">
        <v>9</v>
      </c>
      <c r="E2" s="53" t="s">
        <v>10</v>
      </c>
      <c r="F2" s="53" t="s">
        <v>11</v>
      </c>
      <c r="G2" s="53" t="s">
        <v>408</v>
      </c>
      <c r="H2" s="53" t="s">
        <v>410</v>
      </c>
    </row>
    <row r="3">
      <c r="A3" s="52" t="s">
        <v>413</v>
      </c>
    </row>
    <row r="4">
      <c r="A4" s="54" t="s">
        <v>416</v>
      </c>
      <c r="B4" s="54" t="s">
        <v>313</v>
      </c>
      <c r="C4" s="54" t="s">
        <v>417</v>
      </c>
      <c r="D4" s="54" t="s">
        <v>313</v>
      </c>
      <c r="E4" s="54" t="s">
        <v>56</v>
      </c>
      <c r="F4" s="54" t="s">
        <v>418</v>
      </c>
      <c r="G4" s="54" t="s">
        <v>420</v>
      </c>
      <c r="H4" s="54" t="s">
        <v>422</v>
      </c>
    </row>
    <row r="5">
      <c r="A5" s="52" t="s">
        <v>415</v>
      </c>
    </row>
    <row r="6">
      <c r="A6" s="54" t="s">
        <v>427</v>
      </c>
      <c r="B6" s="54" t="s">
        <v>8</v>
      </c>
      <c r="C6" s="54" t="s">
        <v>431</v>
      </c>
      <c r="D6" s="54" t="s">
        <v>81</v>
      </c>
      <c r="E6" s="54" t="s">
        <v>56</v>
      </c>
      <c r="F6" s="54" t="s">
        <v>418</v>
      </c>
      <c r="G6" s="54" t="s">
        <v>433</v>
      </c>
      <c r="H6" s="54" t="s">
        <v>434</v>
      </c>
    </row>
    <row r="7">
      <c r="A7" s="54" t="s">
        <v>427</v>
      </c>
      <c r="B7" s="54" t="s">
        <v>31</v>
      </c>
      <c r="C7" s="54" t="s">
        <v>438</v>
      </c>
      <c r="D7" s="54" t="s">
        <v>97</v>
      </c>
      <c r="E7" s="54" t="s">
        <v>50</v>
      </c>
      <c r="F7" s="54" t="s">
        <v>418</v>
      </c>
      <c r="G7" s="54" t="s">
        <v>440</v>
      </c>
      <c r="H7" s="54" t="s">
        <v>442</v>
      </c>
    </row>
    <row r="8">
      <c r="A8" s="54" t="s">
        <v>427</v>
      </c>
      <c r="B8" s="54" t="s">
        <v>34</v>
      </c>
      <c r="C8" s="54" t="s">
        <v>445</v>
      </c>
      <c r="D8" s="54" t="s">
        <v>165</v>
      </c>
      <c r="E8" s="54" t="s">
        <v>56</v>
      </c>
      <c r="F8" s="54" t="s">
        <v>418</v>
      </c>
      <c r="G8" s="54" t="s">
        <v>448</v>
      </c>
      <c r="H8" s="54"/>
    </row>
    <row r="9">
      <c r="A9" s="54" t="s">
        <v>427</v>
      </c>
      <c r="B9" s="54" t="s">
        <v>13</v>
      </c>
      <c r="C9" s="54" t="s">
        <v>451</v>
      </c>
      <c r="D9" s="54" t="s">
        <v>81</v>
      </c>
      <c r="E9" s="54" t="s">
        <v>56</v>
      </c>
      <c r="F9" s="54" t="s">
        <v>455</v>
      </c>
      <c r="G9" s="54" t="s">
        <v>433</v>
      </c>
      <c r="H9" s="54" t="s">
        <v>457</v>
      </c>
    </row>
    <row r="10">
      <c r="A10" s="52" t="s">
        <v>458</v>
      </c>
    </row>
    <row r="11">
      <c r="A11" s="54" t="s">
        <v>459</v>
      </c>
      <c r="B11" s="54" t="s">
        <v>460</v>
      </c>
      <c r="C11" s="54" t="s">
        <v>461</v>
      </c>
      <c r="D11" s="54" t="s">
        <v>462</v>
      </c>
      <c r="E11" s="54" t="s">
        <v>56</v>
      </c>
      <c r="F11" s="54" t="s">
        <v>464</v>
      </c>
      <c r="G11" s="54" t="s">
        <v>466</v>
      </c>
      <c r="H11" s="54" t="s">
        <v>469</v>
      </c>
    </row>
    <row r="12">
      <c r="A12" s="54" t="s">
        <v>459</v>
      </c>
      <c r="B12" s="54" t="s">
        <v>470</v>
      </c>
      <c r="C12" s="54" t="s">
        <v>472</v>
      </c>
      <c r="D12" s="54" t="s">
        <v>473</v>
      </c>
      <c r="E12" s="54" t="s">
        <v>474</v>
      </c>
      <c r="F12" s="54" t="s">
        <v>418</v>
      </c>
      <c r="G12" s="54" t="s">
        <v>476</v>
      </c>
      <c r="H12" s="54" t="s">
        <v>478</v>
      </c>
    </row>
    <row r="13">
      <c r="A13" s="54" t="s">
        <v>459</v>
      </c>
      <c r="B13" s="54" t="s">
        <v>479</v>
      </c>
      <c r="C13" s="54" t="s">
        <v>480</v>
      </c>
      <c r="D13" s="54" t="s">
        <v>481</v>
      </c>
      <c r="E13" s="54" t="s">
        <v>56</v>
      </c>
      <c r="F13" s="54" t="s">
        <v>418</v>
      </c>
      <c r="G13" s="54" t="s">
        <v>466</v>
      </c>
      <c r="H13" s="54" t="s">
        <v>484</v>
      </c>
    </row>
    <row r="14">
      <c r="A14" s="54" t="s">
        <v>459</v>
      </c>
      <c r="B14" s="54" t="s">
        <v>488</v>
      </c>
      <c r="C14" s="54" t="s">
        <v>490</v>
      </c>
      <c r="D14" s="54" t="s">
        <v>346</v>
      </c>
      <c r="E14" s="54" t="s">
        <v>56</v>
      </c>
      <c r="F14" s="54" t="s">
        <v>418</v>
      </c>
      <c r="G14" s="54" t="s">
        <v>493</v>
      </c>
      <c r="H14" s="54" t="s">
        <v>495</v>
      </c>
    </row>
    <row r="15">
      <c r="A15" s="54" t="s">
        <v>459</v>
      </c>
      <c r="B15" s="54" t="s">
        <v>141</v>
      </c>
      <c r="C15" s="54" t="s">
        <v>499</v>
      </c>
      <c r="D15" s="54" t="s">
        <v>501</v>
      </c>
      <c r="E15" s="54" t="s">
        <v>56</v>
      </c>
      <c r="F15" s="54" t="s">
        <v>418</v>
      </c>
      <c r="G15" s="54" t="s">
        <v>502</v>
      </c>
      <c r="H15" s="54" t="s">
        <v>505</v>
      </c>
    </row>
    <row r="16">
      <c r="A16" s="54" t="s">
        <v>459</v>
      </c>
      <c r="B16" s="54" t="s">
        <v>141</v>
      </c>
      <c r="C16" s="54" t="s">
        <v>508</v>
      </c>
      <c r="D16" s="54" t="s">
        <v>97</v>
      </c>
      <c r="E16" s="54" t="s">
        <v>56</v>
      </c>
      <c r="F16" s="54" t="s">
        <v>418</v>
      </c>
      <c r="G16" s="54" t="s">
        <v>502</v>
      </c>
      <c r="H16" s="54" t="s">
        <v>513</v>
      </c>
    </row>
    <row r="17">
      <c r="A17" s="54" t="s">
        <v>459</v>
      </c>
      <c r="B17" s="54" t="s">
        <v>153</v>
      </c>
      <c r="C17" s="54" t="s">
        <v>518</v>
      </c>
      <c r="D17" s="54" t="s">
        <v>520</v>
      </c>
      <c r="E17" s="54" t="s">
        <v>56</v>
      </c>
      <c r="F17" s="54" t="s">
        <v>418</v>
      </c>
      <c r="G17" s="54" t="s">
        <v>524</v>
      </c>
      <c r="H17" s="54" t="s">
        <v>526</v>
      </c>
    </row>
    <row r="18">
      <c r="A18" s="54" t="s">
        <v>459</v>
      </c>
      <c r="B18" s="54" t="s">
        <v>153</v>
      </c>
      <c r="C18" s="54" t="s">
        <v>529</v>
      </c>
      <c r="D18" s="54" t="s">
        <v>530</v>
      </c>
      <c r="E18" s="54" t="s">
        <v>532</v>
      </c>
      <c r="F18" s="54" t="s">
        <v>418</v>
      </c>
      <c r="G18" s="54" t="s">
        <v>493</v>
      </c>
      <c r="H18" s="54" t="s">
        <v>537</v>
      </c>
    </row>
    <row r="19">
      <c r="A19" s="54" t="s">
        <v>459</v>
      </c>
      <c r="B19" s="54" t="s">
        <v>226</v>
      </c>
      <c r="C19" s="54" t="s">
        <v>541</v>
      </c>
      <c r="D19" s="54" t="s">
        <v>346</v>
      </c>
      <c r="E19" s="54" t="s">
        <v>56</v>
      </c>
      <c r="F19" s="54" t="s">
        <v>418</v>
      </c>
      <c r="G19" s="54" t="s">
        <v>543</v>
      </c>
      <c r="H19" s="54" t="s">
        <v>544</v>
      </c>
    </row>
    <row r="20">
      <c r="A20" s="54" t="s">
        <v>459</v>
      </c>
      <c r="B20" s="54" t="s">
        <v>547</v>
      </c>
      <c r="C20" s="54" t="s">
        <v>550</v>
      </c>
      <c r="D20" s="54" t="s">
        <v>552</v>
      </c>
      <c r="E20" s="54" t="s">
        <v>56</v>
      </c>
      <c r="F20" s="54" t="s">
        <v>418</v>
      </c>
      <c r="G20" s="54" t="s">
        <v>555</v>
      </c>
      <c r="H20" s="54" t="s">
        <v>558</v>
      </c>
    </row>
    <row r="21">
      <c r="A21" s="54" t="s">
        <v>459</v>
      </c>
      <c r="B21" s="54" t="s">
        <v>561</v>
      </c>
      <c r="C21" s="54" t="s">
        <v>562</v>
      </c>
      <c r="D21" s="54" t="s">
        <v>563</v>
      </c>
      <c r="E21" s="54" t="s">
        <v>564</v>
      </c>
      <c r="F21" s="54" t="s">
        <v>418</v>
      </c>
      <c r="G21" s="54" t="s">
        <v>524</v>
      </c>
      <c r="H21" s="54" t="s">
        <v>568</v>
      </c>
    </row>
    <row r="22">
      <c r="A22" s="54" t="s">
        <v>459</v>
      </c>
      <c r="B22" s="54" t="s">
        <v>48</v>
      </c>
      <c r="C22" s="54" t="s">
        <v>572</v>
      </c>
      <c r="D22" s="54" t="s">
        <v>217</v>
      </c>
      <c r="E22" s="54" t="s">
        <v>56</v>
      </c>
      <c r="F22" s="54" t="s">
        <v>418</v>
      </c>
      <c r="G22" s="54" t="s">
        <v>575</v>
      </c>
      <c r="H22" s="54" t="s">
        <v>5</v>
      </c>
    </row>
    <row r="23">
      <c r="A23" s="54" t="s">
        <v>459</v>
      </c>
      <c r="B23" s="54" t="s">
        <v>545</v>
      </c>
      <c r="C23" s="54" t="s">
        <v>579</v>
      </c>
      <c r="D23" s="54" t="s">
        <v>548</v>
      </c>
      <c r="E23" s="54" t="s">
        <v>564</v>
      </c>
      <c r="F23" s="54" t="s">
        <v>418</v>
      </c>
      <c r="G23" s="54" t="s">
        <v>583</v>
      </c>
      <c r="H23" s="54" t="s">
        <v>586</v>
      </c>
    </row>
    <row r="24">
      <c r="A24" s="52" t="s">
        <v>560</v>
      </c>
    </row>
    <row r="25">
      <c r="A25" s="54" t="s">
        <v>591</v>
      </c>
      <c r="B25" s="54" t="s">
        <v>366</v>
      </c>
      <c r="C25" s="54" t="s">
        <v>592</v>
      </c>
      <c r="D25" s="54" t="s">
        <v>593</v>
      </c>
      <c r="E25" s="54" t="s">
        <v>56</v>
      </c>
      <c r="F25" s="54" t="s">
        <v>418</v>
      </c>
      <c r="G25" s="54" t="s">
        <v>594</v>
      </c>
      <c r="H25" s="54" t="s">
        <v>595</v>
      </c>
    </row>
    <row r="26">
      <c r="A26" s="54" t="s">
        <v>591</v>
      </c>
      <c r="B26" s="54" t="s">
        <v>596</v>
      </c>
      <c r="C26" s="54" t="s">
        <v>597</v>
      </c>
      <c r="D26" s="54" t="s">
        <v>329</v>
      </c>
      <c r="E26" s="54" t="s">
        <v>56</v>
      </c>
      <c r="F26" s="54" t="s">
        <v>598</v>
      </c>
      <c r="G26" s="54" t="s">
        <v>599</v>
      </c>
      <c r="H26" s="54" t="s">
        <v>600</v>
      </c>
    </row>
    <row r="27">
      <c r="A27" s="54" t="s">
        <v>591</v>
      </c>
      <c r="B27" s="54" t="s">
        <v>90</v>
      </c>
      <c r="C27" s="54" t="s">
        <v>602</v>
      </c>
      <c r="D27" s="54" t="s">
        <v>47</v>
      </c>
      <c r="E27" s="54" t="s">
        <v>604</v>
      </c>
      <c r="F27" s="54" t="s">
        <v>606</v>
      </c>
      <c r="G27" s="54" t="s">
        <v>594</v>
      </c>
      <c r="H27" s="54" t="s">
        <v>607</v>
      </c>
    </row>
    <row r="28">
      <c r="A28" s="54" t="s">
        <v>591</v>
      </c>
      <c r="B28" s="54" t="s">
        <v>112</v>
      </c>
      <c r="C28" s="54" t="s">
        <v>608</v>
      </c>
      <c r="D28" s="54" t="s">
        <v>81</v>
      </c>
      <c r="E28" s="54" t="s">
        <v>56</v>
      </c>
      <c r="F28" s="54" t="s">
        <v>609</v>
      </c>
      <c r="G28" s="54" t="s">
        <v>594</v>
      </c>
      <c r="H28" s="54" t="s">
        <v>611</v>
      </c>
    </row>
    <row r="29">
      <c r="A29" s="52" t="s">
        <v>613</v>
      </c>
    </row>
    <row r="30">
      <c r="A30" s="54" t="s">
        <v>614</v>
      </c>
      <c r="B30" s="54" t="s">
        <v>615</v>
      </c>
      <c r="C30" s="54" t="s">
        <v>616</v>
      </c>
      <c r="D30" s="54" t="s">
        <v>618</v>
      </c>
      <c r="E30" s="54" t="s">
        <v>56</v>
      </c>
      <c r="F30" s="54" t="s">
        <v>418</v>
      </c>
      <c r="G30" s="54" t="s">
        <v>622</v>
      </c>
      <c r="H30" s="54" t="s">
        <v>624</v>
      </c>
    </row>
    <row r="31">
      <c r="A31" s="54" t="s">
        <v>614</v>
      </c>
      <c r="B31" s="54" t="s">
        <v>627</v>
      </c>
      <c r="C31" s="54" t="s">
        <v>629</v>
      </c>
      <c r="D31" s="54" t="s">
        <v>630</v>
      </c>
      <c r="E31" s="54" t="s">
        <v>56</v>
      </c>
      <c r="F31" s="54" t="s">
        <v>418</v>
      </c>
      <c r="G31" s="54" t="s">
        <v>622</v>
      </c>
      <c r="H31" s="54" t="s">
        <v>5</v>
      </c>
    </row>
    <row r="32">
      <c r="A32" s="54" t="s">
        <v>614</v>
      </c>
      <c r="B32" s="54" t="s">
        <v>243</v>
      </c>
      <c r="C32" s="54" t="s">
        <v>636</v>
      </c>
      <c r="D32" s="54" t="s">
        <v>284</v>
      </c>
      <c r="E32" s="54" t="s">
        <v>56</v>
      </c>
      <c r="F32" s="54" t="s">
        <v>639</v>
      </c>
      <c r="G32" s="54" t="s">
        <v>622</v>
      </c>
      <c r="H32" s="54" t="s">
        <v>641</v>
      </c>
    </row>
    <row r="33">
      <c r="A33" s="54" t="s">
        <v>614</v>
      </c>
      <c r="B33" s="54" t="s">
        <v>247</v>
      </c>
      <c r="C33" s="54" t="s">
        <v>642</v>
      </c>
      <c r="D33" s="54" t="s">
        <v>217</v>
      </c>
      <c r="E33" s="54" t="s">
        <v>56</v>
      </c>
      <c r="F33" s="54" t="s">
        <v>418</v>
      </c>
      <c r="G33" s="54" t="s">
        <v>643</v>
      </c>
      <c r="H33" s="54" t="s">
        <v>644</v>
      </c>
    </row>
    <row r="34">
      <c r="A34" s="49" t="s">
        <v>5</v>
      </c>
      <c r="B34" s="49" t="s">
        <v>5</v>
      </c>
      <c r="C34" s="49" t="s">
        <v>5</v>
      </c>
      <c r="D34" s="49" t="s">
        <v>5</v>
      </c>
      <c r="E34" s="49" t="s">
        <v>5</v>
      </c>
      <c r="F34" s="49" t="s">
        <v>5</v>
      </c>
      <c r="G34" s="49" t="s">
        <v>5</v>
      </c>
      <c r="H34" s="49" t="s">
        <v>5</v>
      </c>
    </row>
    <row r="35">
      <c r="A35" s="49" t="s">
        <v>646</v>
      </c>
      <c r="B35" s="49" t="s">
        <v>5</v>
      </c>
      <c r="C35" s="49" t="s">
        <v>5</v>
      </c>
      <c r="D35" s="49" t="s">
        <v>5</v>
      </c>
      <c r="E35" s="49" t="s">
        <v>5</v>
      </c>
      <c r="F35" s="49" t="s">
        <v>5</v>
      </c>
      <c r="G35" s="49" t="s">
        <v>5</v>
      </c>
      <c r="H35" s="49" t="s">
        <v>5</v>
      </c>
    </row>
    <row r="37">
      <c r="A37" s="49" t="s">
        <v>427</v>
      </c>
      <c r="B37" s="49" t="s">
        <v>449</v>
      </c>
      <c r="C37" s="49" t="s">
        <v>648</v>
      </c>
      <c r="D37" s="49" t="s">
        <v>81</v>
      </c>
      <c r="E37" s="49" t="s">
        <v>56</v>
      </c>
      <c r="F37" s="49" t="s">
        <v>418</v>
      </c>
      <c r="G37" s="49" t="s">
        <v>650</v>
      </c>
      <c r="H37" s="49" t="s">
        <v>651</v>
      </c>
    </row>
    <row r="38">
      <c r="A38" s="49" t="s">
        <v>591</v>
      </c>
      <c r="B38" s="49" t="s">
        <v>588</v>
      </c>
      <c r="C38" s="49" t="s">
        <v>653</v>
      </c>
      <c r="D38" s="49" t="s">
        <v>654</v>
      </c>
      <c r="E38" s="49" t="s">
        <v>564</v>
      </c>
      <c r="F38" s="49" t="s">
        <v>418</v>
      </c>
      <c r="G38" s="49" t="s">
        <v>656</v>
      </c>
      <c r="H38" s="49" t="s">
        <v>657</v>
      </c>
    </row>
  </sheetData>
  <mergeCells count="6">
    <mergeCell ref="A1:H1"/>
    <mergeCell ref="A3:H3"/>
    <mergeCell ref="A5:H5"/>
    <mergeCell ref="A10:H10"/>
    <mergeCell ref="A24:H24"/>
    <mergeCell ref="A29:H29"/>
  </mergeCells>
  <drawing r:id="rId1"/>
</worksheet>
</file>